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🐛 Bug &amp; Issue Log" sheetId="1" state="visible" r:id="rId3"/>
    <sheet name="✅ Test Case Checklist" sheetId="2" state="visible" r:id="rId4"/>
    <sheet name="📊 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<sst xmlns="http://schemas.openxmlformats.org/spreadsheetml/2006/main" count="335" uniqueCount="291">
  <si>
    <t xml:space="preserve">🐛  BoldBox UAT — Bug &amp; Issue Log</t>
  </si>
  <si>
    <t xml:space="preserve">Last Updated: 14 Jun 2026    |    App: BoldBox Early Access    |    Platform: Android (Google Play)</t>
  </si>
  <si>
    <t xml:space="preserve">Issue ID</t>
  </si>
  <si>
    <t xml:space="preserve">Date Found</t>
  </si>
  <si>
    <t xml:space="preserve">Found By</t>
  </si>
  <si>
    <t xml:space="preserve">Screen / Feature</t>
  </si>
  <si>
    <t xml:space="preserve">Severity</t>
  </si>
  <si>
    <t xml:space="preserve">Type</t>
  </si>
  <si>
    <t xml:space="preserve">Description</t>
  </si>
  <si>
    <t xml:space="preserve">Steps to Reproduce</t>
  </si>
  <si>
    <t xml:space="preserve">Expected Result</t>
  </si>
  <si>
    <t xml:space="preserve">Actual Result</t>
  </si>
  <si>
    <t xml:space="preserve">Device</t>
  </si>
  <si>
    <t xml:space="preserve">OS Version</t>
  </si>
  <si>
    <t xml:space="preserve">App Version</t>
  </si>
  <si>
    <t xml:space="preserve">Screenshot / Video</t>
  </si>
  <si>
    <t xml:space="preserve">Status</t>
  </si>
  <si>
    <t xml:space="preserve">Assigned To</t>
  </si>
  <si>
    <t xml:space="preserve">Fix Version</t>
  </si>
  <si>
    <t xml:space="preserve">Date Fixed</t>
  </si>
  <si>
    <t xml:space="preserve">Notes</t>
  </si>
  <si>
    <t xml:space="preserve">SEVERITY GUIDE</t>
  </si>
  <si>
    <t xml:space="preserve">BUG-001</t>
  </si>
  <si>
    <t xml:space="preserve">14 Jun 2026</t>
  </si>
  <si>
    <t xml:space="preserve">Mighty</t>
  </si>
  <si>
    <t xml:space="preserve">Video Player</t>
  </si>
  <si>
    <t xml:space="preserve">P1 — Critical</t>
  </si>
  <si>
    <t xml:space="preserve">Crash</t>
  </si>
  <si>
    <t xml:space="preserve">กดปุ่ม Play แล้วแอพ crash กลับ Home Screen ทันที</t>
  </si>
  <si>
    <t xml:space="preserve">1. เปิดแอพ
2. แตะซีรีส์ใดก็ได้
3. กดปุ่ม Play</t>
  </si>
  <si>
    <t xml:space="preserve">วิดีโอเล่นได้ปกติ</t>
  </si>
  <si>
    <t xml:space="preserve">แอพ crash กลับ Home Screen</t>
  </si>
  <si>
    <t xml:space="preserve">Samsung Galaxy S23</t>
  </si>
  <si>
    <t xml:space="preserve">Android 14</t>
  </si>
  <si>
    <t xml:space="preserve">v0.1.0 (build 1)</t>
  </si>
  <si>
    <t xml:space="preserve">-</t>
  </si>
  <si>
    <t xml:space="preserve">Open</t>
  </si>
  <si>
    <t xml:space="preserve">Joe</t>
  </si>
  <si>
    <t xml:space="preserve">เกิดทุกครั้ง ทุกเครื่องที่ทดสอบ</t>
  </si>
  <si>
    <t xml:space="preserve">Crash / ฟีเจอร์หลักใช้ไม่ได้ → Fix ภายใน 24 ชม.</t>
  </si>
  <si>
    <t xml:space="preserve">BUG-002</t>
  </si>
  <si>
    <t xml:space="preserve">Login / Sign Up</t>
  </si>
  <si>
    <t xml:space="preserve">Bug</t>
  </si>
  <si>
    <t xml:space="preserve">Sign Up ด้วย Email แล้ว Error 500 ไม่สามารถสมัครได้</t>
  </si>
  <si>
    <t xml:space="preserve">1. กด Sign Up
2. กรอก Email + Password
3. กด Submit</t>
  </si>
  <si>
    <t xml:space="preserve">สมัครสำเร็จ → เข้าสู่ For You Feed</t>
  </si>
  <si>
    <t xml:space="preserve">Error 500 — Internal Server Error</t>
  </si>
  <si>
    <t xml:space="preserve">Pixel 7</t>
  </si>
  <si>
    <t xml:space="preserve">Android 13</t>
  </si>
  <si>
    <t xml:space="preserve">ทดสอบด้วย Gmail และ Hotmail ทั้งคู่ Error</t>
  </si>
  <si>
    <t xml:space="preserve">P2 — High</t>
  </si>
  <si>
    <t xml:space="preserve">ฟีเจอร์ผิดพลาด แต่ยังใช้ได้ → Fix ภายใน 3 วัน</t>
  </si>
  <si>
    <t xml:space="preserve">BUG-003</t>
  </si>
  <si>
    <t xml:space="preserve">Ake</t>
  </si>
  <si>
    <t xml:space="preserve">For You Feed</t>
  </si>
  <si>
    <t xml:space="preserve">UI</t>
  </si>
  <si>
    <t xml:space="preserve">For You Banner Ad ไม่แสดงผล — พื้นที่โฆษณาว่างเปล่า</t>
  </si>
  <si>
    <t xml:space="preserve">1. Login สำเร็จ
2. ดู For You Feed
3. Scroll ดูพื้นที่ Banner</t>
  </si>
  <si>
    <t xml:space="preserve">แสดง Banner Ad ของแบรนด์</t>
  </si>
  <si>
    <t xml:space="preserve">พื้นที่ว่าง ไม่มีโฆษณาขึ้น</t>
  </si>
  <si>
    <t xml:space="preserve">Samsung Galaxy A54</t>
  </si>
  <si>
    <t xml:space="preserve">P3 — Medium</t>
  </si>
  <si>
    <t xml:space="preserve">UI/UX ผิดพลาด → Fix ใน Sprint ถัดไป</t>
  </si>
  <si>
    <t xml:space="preserve">BUG-004</t>
  </si>
  <si>
    <t xml:space="preserve">IAP / Payment</t>
  </si>
  <si>
    <t xml:space="preserve">ซื้อ Ad-Free Package ฿49 ผ่าน Omise แล้ว Payment ไม่สำเร็จ</t>
  </si>
  <si>
    <t xml:space="preserve">1. ไปที่ Settings
2. เลือก Ad-Free Package
3. กรอกบัตรเครดิต
4. กด Pay</t>
  </si>
  <si>
    <t xml:space="preserve">Payment สำเร็จ → ได้รับสิทธิ์ Ad-Free</t>
  </si>
  <si>
    <t xml:space="preserve">Error: Payment Failed — กลับมาหน้าเดิม</t>
  </si>
  <si>
    <t xml:space="preserve">iPhone SE (Test Android APK)</t>
  </si>
  <si>
    <t xml:space="preserve">Android 12</t>
  </si>
  <si>
    <t xml:space="preserve">ทดสอบบัตร Test Card ของ Omise</t>
  </si>
  <si>
    <t xml:space="preserve">P4 — Low</t>
  </si>
  <si>
    <t xml:space="preserve">Cosmetic / Nice-to-have → Backlog</t>
  </si>
  <si>
    <t xml:space="preserve">BUG-005</t>
  </si>
  <si>
    <t xml:space="preserve">Fim</t>
  </si>
  <si>
    <t xml:space="preserve">ปุ่ม Episode ถัดไปชนขอบจอบน Android หน้าจอ 6.1 นิ้ว</t>
  </si>
  <si>
    <t xml:space="preserve">1. เปิดวิดีโอ
2. ดูปุ่ม Episode ถัดไปที่มุมขวาล่าง</t>
  </si>
  <si>
    <t xml:space="preserve">ปุ่มอยู่ใน safe area ชัดเจน</t>
  </si>
  <si>
    <t xml:space="preserve">ปุ่มถูก Navigation Bar บังครึ่งนึง</t>
  </si>
  <si>
    <t xml:space="preserve">Xiaomi 13T</t>
  </si>
  <si>
    <t xml:space="preserve">เฉพาะ Gesture Navigation Mode</t>
  </si>
  <si>
    <t xml:space="preserve">STATUS GUIDE</t>
  </si>
  <si>
    <t xml:space="preserve">BUG-006</t>
  </si>
  <si>
    <t xml:space="preserve">เจอแล้ว รอ assign</t>
  </si>
  <si>
    <t xml:space="preserve">BUG-007</t>
  </si>
  <si>
    <t xml:space="preserve">In Progress</t>
  </si>
  <si>
    <t xml:space="preserve">Dev กำลังแก้</t>
  </si>
  <si>
    <t xml:space="preserve">BUG-008</t>
  </si>
  <si>
    <t xml:space="preserve">Fixed</t>
  </si>
  <si>
    <t xml:space="preserve">แก้แล้ว รอ Verify</t>
  </si>
  <si>
    <t xml:space="preserve">BUG-009</t>
  </si>
  <si>
    <t xml:space="preserve">Verified</t>
  </si>
  <si>
    <t xml:space="preserve">ทดสอบซ้ำผ่านแล้ว ปิด</t>
  </si>
  <si>
    <t xml:space="preserve">BUG-010</t>
  </si>
  <si>
    <t xml:space="preserve">Won't Fix</t>
  </si>
  <si>
    <t xml:space="preserve">ตัดสินใจไม่แก้ (เหตุผลใน Notes)</t>
  </si>
  <si>
    <t xml:space="preserve">BUG-011</t>
  </si>
  <si>
    <t xml:space="preserve">BUG-012</t>
  </si>
  <si>
    <t xml:space="preserve">BUG-013</t>
  </si>
  <si>
    <t xml:space="preserve">BUG-014</t>
  </si>
  <si>
    <t xml:space="preserve">BUG-015</t>
  </si>
  <si>
    <t xml:space="preserve">BUG-016</t>
  </si>
  <si>
    <t xml:space="preserve">BUG-017</t>
  </si>
  <si>
    <t xml:space="preserve">BUG-018</t>
  </si>
  <si>
    <t xml:space="preserve">BUG-019</t>
  </si>
  <si>
    <t xml:space="preserve">BUG-020</t>
  </si>
  <si>
    <t xml:space="preserve">BUG-021</t>
  </si>
  <si>
    <t xml:space="preserve">BUG-022</t>
  </si>
  <si>
    <t xml:space="preserve">BUG-023</t>
  </si>
  <si>
    <t xml:space="preserve">BUG-024</t>
  </si>
  <si>
    <t xml:space="preserve">BUG-025</t>
  </si>
  <si>
    <t xml:space="preserve">BUG-026</t>
  </si>
  <si>
    <t xml:space="preserve">BUG-027</t>
  </si>
  <si>
    <t xml:space="preserve">BUG-028</t>
  </si>
  <si>
    <t xml:space="preserve">BUG-029</t>
  </si>
  <si>
    <t xml:space="preserve">BUG-030</t>
  </si>
  <si>
    <t xml:space="preserve">BUG-031</t>
  </si>
  <si>
    <t xml:space="preserve">BUG-032</t>
  </si>
  <si>
    <t xml:space="preserve">BUG-033</t>
  </si>
  <si>
    <t xml:space="preserve">BUG-034</t>
  </si>
  <si>
    <t xml:space="preserve">BUG-035</t>
  </si>
  <si>
    <t xml:space="preserve">BUG-036</t>
  </si>
  <si>
    <t xml:space="preserve">BUG-037</t>
  </si>
  <si>
    <t xml:space="preserve">BUG-038</t>
  </si>
  <si>
    <t xml:space="preserve">BUG-039</t>
  </si>
  <si>
    <t xml:space="preserve">BUG-040</t>
  </si>
  <si>
    <t xml:space="preserve">BUG-041</t>
  </si>
  <si>
    <t xml:space="preserve">BUG-042</t>
  </si>
  <si>
    <t xml:space="preserve">BUG-043</t>
  </si>
  <si>
    <t xml:space="preserve">BUG-044</t>
  </si>
  <si>
    <t xml:space="preserve">BUG-045</t>
  </si>
  <si>
    <t xml:space="preserve">BUG-046</t>
  </si>
  <si>
    <t xml:space="preserve">BUG-047</t>
  </si>
  <si>
    <t xml:space="preserve">BUG-048</t>
  </si>
  <si>
    <t xml:space="preserve">BUG-049</t>
  </si>
  <si>
    <t xml:space="preserve">BUG-050</t>
  </si>
  <si>
    <t xml:space="preserve">BUG-051</t>
  </si>
  <si>
    <t xml:space="preserve">BUG-052</t>
  </si>
  <si>
    <t xml:space="preserve">BUG-053</t>
  </si>
  <si>
    <t xml:space="preserve">BUG-054</t>
  </si>
  <si>
    <t xml:space="preserve">BUG-055</t>
  </si>
  <si>
    <t xml:space="preserve">BUG-056</t>
  </si>
  <si>
    <t xml:space="preserve">✅  BoldBox UAT — Test Case Checklist</t>
  </si>
  <si>
    <t xml:space="preserve">Tester: _______________    Round: ___    Date: 14 Jun 2026    App Version: v___</t>
  </si>
  <si>
    <t xml:space="preserve">#</t>
  </si>
  <si>
    <t xml:space="preserve">Test Area</t>
  </si>
  <si>
    <t xml:space="preserve">Test Case</t>
  </si>
  <si>
    <t xml:space="preserve">Pass ✅ / Fail ❌ / N/A</t>
  </si>
  <si>
    <t xml:space="preserve">Issue ID (ถ้า Fail)</t>
  </si>
  <si>
    <t xml:space="preserve">Notes / Observation</t>
  </si>
  <si>
    <t xml:space="preserve">Tester</t>
  </si>
  <si>
    <t xml:space="preserve">  ONBOARDING</t>
  </si>
  <si>
    <t xml:space="preserve">Splash &amp; Loading</t>
  </si>
  <si>
    <t xml:space="preserve">เปิดแอพครั้งแรก → Splash Screen BoldBox แสดง + Loading เสร็จภายใน 3 วิ</t>
  </si>
  <si>
    <t xml:space="preserve">Sign Up</t>
  </si>
  <si>
    <t xml:space="preserve">Sign Up ด้วย Email + Password → สมัครสำเร็จ เข้า Feed ได้</t>
  </si>
  <si>
    <t xml:space="preserve">Login</t>
  </si>
  <si>
    <t xml:space="preserve">Login ด้วย Email ที่สมัครไว้ → เข้าได้ปกติ</t>
  </si>
  <si>
    <t xml:space="preserve">Login — Wrong Password</t>
  </si>
  <si>
    <t xml:space="preserve">ใส่ Password ผิด → แสดง Error Message ชัดเจน</t>
  </si>
  <si>
    <t xml:space="preserve">Forgot Password</t>
  </si>
  <si>
    <t xml:space="preserve">กด Forgot Password → รับ Email Reset ได้</t>
  </si>
  <si>
    <t xml:space="preserve">Logout</t>
  </si>
  <si>
    <t xml:space="preserve">กด Logout → กลับสู่หน้า Login</t>
  </si>
  <si>
    <t xml:space="preserve">  FOR YOU FEED</t>
  </si>
  <si>
    <t xml:space="preserve">Feed Load</t>
  </si>
  <si>
    <t xml:space="preserve">เปิดแอพ → For You Feed โหลดซีรีส์ได้ภายใน 3 วิ</t>
  </si>
  <si>
    <t xml:space="preserve">Scroll &amp; Load More</t>
  </si>
  <si>
    <t xml:space="preserve">Scroll ลงไปเรื่อยๆ → โหลด Content เพิ่มอัตโนมัติ</t>
  </si>
  <si>
    <t xml:space="preserve">Series Thumbnail</t>
  </si>
  <si>
    <t xml:space="preserve">Thumbnail ของซีรีส์ทุกเรื่องแสดงชัดเจน ไม่ blur</t>
  </si>
  <si>
    <t xml:space="preserve">Tap Series → Detail</t>
  </si>
  <si>
    <t xml:space="preserve">แตะซีรีส์ → เปิดหน้า Series Detail ได้ถูกต้อง</t>
  </si>
  <si>
    <t xml:space="preserve">For You Banner Ad</t>
  </si>
  <si>
    <t xml:space="preserve">Banner Ad แสดงในตำแหน่งที่กำหนด (ไม่ทับ content)</t>
  </si>
  <si>
    <t xml:space="preserve">For You Box Ad</t>
  </si>
  <si>
    <t xml:space="preserve">Box Ad แสดงใน Feed ถูกตำแหน่ง</t>
  </si>
  <si>
    <t xml:space="preserve">Genre Filter</t>
  </si>
  <si>
    <t xml:space="preserve">กด Filter ตาม Genre → แสดงเฉพาะ Genre นั้น</t>
  </si>
  <si>
    <t xml:space="preserve">  SERIES DETAIL PAGE</t>
  </si>
  <si>
    <t xml:space="preserve">Synopsis</t>
  </si>
  <si>
    <t xml:space="preserve">หน้า Detail แสดง Synopsis, Genre, จำนวน Episode ถูกต้อง</t>
  </si>
  <si>
    <t xml:space="preserve">Episode List</t>
  </si>
  <si>
    <t xml:space="preserve">รายการ Episode ทุก ep แสดงครบถ้วน</t>
  </si>
  <si>
    <t xml:space="preserve">Add to Favorites</t>
  </si>
  <si>
    <t xml:space="preserve">กด Favorite → เพิ่มใน Favorites List สำเร็จ</t>
  </si>
  <si>
    <t xml:space="preserve">  VIDEO PLAYER</t>
  </si>
  <si>
    <t xml:space="preserve">Play Video</t>
  </si>
  <si>
    <t xml:space="preserve">กด Play → วิดีโอเล่นได้ภายใน 2 วิ ไม่ Crash</t>
  </si>
  <si>
    <t xml:space="preserve">Pause / Resume</t>
  </si>
  <si>
    <t xml:space="preserve">กด Pause แล้ว Resume → เล่นต่อจากจุดเดิม</t>
  </si>
  <si>
    <t xml:space="preserve">Seek Bar</t>
  </si>
  <si>
    <t xml:space="preserve">ลาก Seek Bar ไปจุดอื่น → กระโดดไปตำแหน่งนั้นถูกต้อง</t>
  </si>
  <si>
    <t xml:space="preserve">Auto Next Episode</t>
  </si>
  <si>
    <t xml:space="preserve">จบ Episode → ขึ้น Episode ถัดไปอัตโนมัติ</t>
  </si>
  <si>
    <t xml:space="preserve">Play Screen Banner Ad</t>
  </si>
  <si>
    <t xml:space="preserve">Banner Ad แสดงบน Play Screen (non-VIP)</t>
  </si>
  <si>
    <t xml:space="preserve">Play Screen Box Ad</t>
  </si>
  <si>
    <t xml:space="preserve">Box Ad แสดงบน Play Screen (non-VIP)</t>
  </si>
  <si>
    <t xml:space="preserve">Background → Resume</t>
  </si>
  <si>
    <t xml:space="preserve">กด Home แล้วกลับมา → เล่นต่อจากจุดที่ค้างไว้</t>
  </si>
  <si>
    <t xml:space="preserve">Landscape Mode</t>
  </si>
  <si>
    <t xml:space="preserve">หมุนจอ → Player ปรับ Landscape ได้ถูกต้อง</t>
  </si>
  <si>
    <t xml:space="preserve">  IAP — AD-FREE PACKAGE</t>
  </si>
  <si>
    <t xml:space="preserve">Purchase Flow</t>
  </si>
  <si>
    <t xml:space="preserve">กด Ad-Free ฿49 → หน้า Payment แสดงถูกต้อง</t>
  </si>
  <si>
    <t xml:space="preserve">Payment Success</t>
  </si>
  <si>
    <t xml:space="preserve">ชำระเงินผ่าน Omise สำเร็จ → ได้รับสิทธิ์ Ad-Free ทันที</t>
  </si>
  <si>
    <t xml:space="preserve">Ad Hidden After Purchase</t>
  </si>
  <si>
    <t xml:space="preserve">หลังซื้อ → Banner และ Box Ad บน Play Screen หายไป</t>
  </si>
  <si>
    <t xml:space="preserve">Persistent After Restart</t>
  </si>
  <si>
    <t xml:space="preserve">ปิดแอพแล้วเปิดใหม่ → สิทธิ์ Ad-Free ยังอยู่</t>
  </si>
  <si>
    <t xml:space="preserve">Payment Failed</t>
  </si>
  <si>
    <t xml:space="preserve">ใช้บัตรทดสอบที่ Fail → แสดง Error Message ชัดเจน</t>
  </si>
  <si>
    <t xml:space="preserve">  VIP SUBSCRIPTION</t>
  </si>
  <si>
    <t xml:space="preserve">Subscribe Flow</t>
  </si>
  <si>
    <t xml:space="preserve">กด VIP ฿129/เดือน → หน้า Payment ถูกต้อง</t>
  </si>
  <si>
    <t xml:space="preserve">ชำระ VIP สำเร็จ → ได้รับ Badge + สิทธิ์ครบ</t>
  </si>
  <si>
    <t xml:space="preserve">Exclusive Series Access</t>
  </si>
  <si>
    <t xml:space="preserve">VIP เข้าดู Exclusive Series ได้ (non-VIP เห็น Lock)</t>
  </si>
  <si>
    <t xml:space="preserve">Ad-Free on Play Screen</t>
  </si>
  <si>
    <t xml:space="preserve">VIP ไม่มีโฆษณาบน Play Screen</t>
  </si>
  <si>
    <t xml:space="preserve">Cancel Subscription</t>
  </si>
  <si>
    <t xml:space="preserve">ยกเลิก VIP → Downgrade ถูกต้องเมื่อหมดรอบ</t>
  </si>
  <si>
    <t xml:space="preserve">  SEARCH &amp; DISCOVERY</t>
  </si>
  <si>
    <t xml:space="preserve">Search by Title</t>
  </si>
  <si>
    <t xml:space="preserve">พิมพ์ชื่อซีรีส์ → แสดงผลถูกต้อง</t>
  </si>
  <si>
    <t xml:space="preserve">Search — No Result</t>
  </si>
  <si>
    <t xml:space="preserve">พิมพ์คำที่ไม่มีใน Platform → แสดง Empty State สวยงาม</t>
  </si>
  <si>
    <t xml:space="preserve">Browse by Genre</t>
  </si>
  <si>
    <t xml:space="preserve">แตะ Genre Tag → แสดงซีรีส์ใน Genre นั้น</t>
  </si>
  <si>
    <t xml:space="preserve">  PROFILE &amp; SETTINGS</t>
  </si>
  <si>
    <t xml:space="preserve">Watch History</t>
  </si>
  <si>
    <t xml:space="preserve">ดูซีรีส์แล้ว → ปรากฏใน Watch History ถูกต้อง</t>
  </si>
  <si>
    <t xml:space="preserve">Favorites List</t>
  </si>
  <si>
    <t xml:space="preserve">ซีรีส์ที่ Favorite → แสดงครบใน Favorites</t>
  </si>
  <si>
    <t xml:space="preserve">Edit Profile</t>
  </si>
  <si>
    <t xml:space="preserve">แก้ไข Display Name → บันทึกและแสดงชื่อใหม่</t>
  </si>
  <si>
    <t xml:space="preserve">Notification Settings</t>
  </si>
  <si>
    <t xml:space="preserve">เปิด/ปิด Notification → ทำงานถูกต้อง</t>
  </si>
  <si>
    <t xml:space="preserve">  PERFORMANCE &amp; STABILITY</t>
  </si>
  <si>
    <t xml:space="preserve">Cold Start Time</t>
  </si>
  <si>
    <t xml:space="preserve">เปิดแอพครั้งแรก → ถึง Feed ภายใน 5 วิ</t>
  </si>
  <si>
    <t xml:space="preserve">Video Buffer Time</t>
  </si>
  <si>
    <t xml:space="preserve">กด Play → เริ่มเล่นภายใน 3 วิ (WiFi)</t>
  </si>
  <si>
    <t xml:space="preserve">Scroll Smoothness</t>
  </si>
  <si>
    <t xml:space="preserve">Scroll Feed เร็วๆ → ไม่ lag, Frame rate ปกติ</t>
  </si>
  <si>
    <t xml:space="preserve">No Memory Leak</t>
  </si>
  <si>
    <t xml:space="preserve">ใช้งาน 30 นาทีต่อเนื่อง → ไม่ crash, ไม่ร้อนผิดปกติ</t>
  </si>
  <si>
    <t xml:space="preserve">Low Connection</t>
  </si>
  <si>
    <t xml:space="preserve">ใช้ 3G / เน็ตช้า → แสดง Loading State สวยงาม ไม่ crash</t>
  </si>
  <si>
    <t xml:space="preserve">Offline Mode</t>
  </si>
  <si>
    <t xml:space="preserve">ปิด Internet → แสดง Offline State ชัดเจน ไม่ crash</t>
  </si>
  <si>
    <t xml:space="preserve">TOTAL TEST CASES</t>
  </si>
  <si>
    <t xml:space="preserve">47 test cases</t>
  </si>
  <si>
    <t xml:space="preserve">📊  BoldBox UAT — Summary Dashboard</t>
  </si>
  <si>
    <t xml:space="preserve">Auto-calculated from Bug &amp; Issue Log    |    Last Updated: 14 Jun 2026</t>
  </si>
  <si>
    <t xml:space="preserve">  📌  ISSUE OVERVIEW</t>
  </si>
  <si>
    <t xml:space="preserve">Total Issues Logged</t>
  </si>
  <si>
    <t xml:space="preserve">  Open</t>
  </si>
  <si>
    <t xml:space="preserve">  In Progress</t>
  </si>
  <si>
    <t xml:space="preserve">  Fixed (รอ Verify)</t>
  </si>
  <si>
    <t xml:space="preserve">  Verified ✅ (ปิดแล้ว)</t>
  </si>
  <si>
    <t xml:space="preserve">  Won't Fix</t>
  </si>
  <si>
    <t xml:space="preserve">  🔴  ISSUES BY SEVERITY</t>
  </si>
  <si>
    <t xml:space="preserve">  📱  ISSUES BY FEATURE AREA</t>
  </si>
  <si>
    <t xml:space="preserve">VIP Subscription</t>
  </si>
  <si>
    <t xml:space="preserve">Search</t>
  </si>
  <si>
    <t xml:space="preserve">Profile / Settings</t>
  </si>
  <si>
    <t xml:space="preserve">Performance</t>
  </si>
  <si>
    <t xml:space="preserve">  ✅  TEST COVERAGE</t>
  </si>
  <si>
    <t xml:space="preserve">Total Test Cases</t>
  </si>
  <si>
    <t xml:space="preserve">Pass ✅</t>
  </si>
  <si>
    <t xml:space="preserve">Fail ❌</t>
  </si>
  <si>
    <t xml:space="preserve">N/A</t>
  </si>
  <si>
    <t xml:space="preserve">Not Tested Yet</t>
  </si>
  <si>
    <t xml:space="preserve">Coverage %</t>
  </si>
  <si>
    <t xml:space="preserve">  📋  TESTING INFO</t>
  </si>
  <si>
    <t xml:space="preserve">App Name</t>
  </si>
  <si>
    <t xml:space="preserve">BoldBox — Micro Drama Streaming</t>
  </si>
  <si>
    <t xml:space="preserve">Platform</t>
  </si>
  <si>
    <t xml:space="preserve">Android (Google Play Early Access)</t>
  </si>
  <si>
    <t xml:space="preserve">Testing Round</t>
  </si>
  <si>
    <t xml:space="preserve">Round 1</t>
  </si>
  <si>
    <t xml:space="preserve">Test Period</t>
  </si>
  <si>
    <t xml:space="preserve">14 Jun 2026 — ongoing</t>
  </si>
  <si>
    <t xml:space="preserve">Lead Tester</t>
  </si>
  <si>
    <t xml:space="preserve">Mighty (CEO)</t>
  </si>
  <si>
    <t xml:space="preserve">Dev Lead</t>
  </si>
  <si>
    <t xml:space="preserve">Joe (CTO)</t>
  </si>
</sst>
</file>

<file path=xl/styles.xml><?xml version="1.0" encoding="utf-8"?>
<styleSheet xmlns="http://schemas.openxmlformats.org/spreadsheetml/2006/main">
  <numFmts count="1">
    <numFmt numFmtId="164" formatCode="General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4C430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sz val="9"/>
      <color rgb="FFCC0000"/>
      <name val="Arial"/>
      <family val="0"/>
      <charset val="1"/>
    </font>
    <font>
      <b val="true"/>
      <sz val="9"/>
      <color rgb="FFCC6600"/>
      <name val="Arial"/>
      <family val="0"/>
      <charset val="1"/>
    </font>
    <font>
      <sz val="9"/>
      <color rgb="FFCC6600"/>
      <name val="Arial"/>
      <family val="0"/>
      <charset val="1"/>
    </font>
    <font>
      <b val="true"/>
      <sz val="9"/>
      <color rgb="FF806600"/>
      <name val="Arial"/>
      <family val="0"/>
      <charset val="1"/>
    </font>
    <font>
      <sz val="9"/>
      <color rgb="FF806600"/>
      <name val="Arial"/>
      <family val="0"/>
      <charset val="1"/>
    </font>
    <font>
      <b val="true"/>
      <sz val="9"/>
      <color rgb="FF006600"/>
      <name val="Arial"/>
      <family val="0"/>
      <charset val="1"/>
    </font>
    <font>
      <sz val="9"/>
      <color rgb="FF006600"/>
      <name val="Arial"/>
      <family val="0"/>
      <charset val="1"/>
    </font>
    <font>
      <b val="true"/>
      <sz val="9"/>
      <color rgb="FF003399"/>
      <name val="Arial"/>
      <family val="0"/>
      <charset val="1"/>
    </font>
    <font>
      <sz val="9"/>
      <color rgb="FF003399"/>
      <name val="Arial"/>
      <family val="0"/>
      <charset val="1"/>
    </font>
    <font>
      <b val="true"/>
      <sz val="9"/>
      <color rgb="FF660099"/>
      <name val="Arial"/>
      <family val="0"/>
      <charset val="1"/>
    </font>
    <font>
      <sz val="9"/>
      <color rgb="FF6600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8066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CC0000"/>
      <name val="Arial"/>
      <family val="0"/>
      <charset val="1"/>
    </font>
    <font>
      <b val="true"/>
      <sz val="13"/>
      <color rgb="FFCC6600"/>
      <name val="Arial"/>
      <family val="0"/>
      <charset val="1"/>
    </font>
    <font>
      <b val="true"/>
      <sz val="13"/>
      <color rgb="FF003399"/>
      <name val="Arial"/>
      <family val="0"/>
      <charset val="1"/>
    </font>
    <font>
      <b val="true"/>
      <sz val="13"/>
      <color rgb="FF006600"/>
      <name val="Arial"/>
      <family val="0"/>
      <charset val="1"/>
    </font>
    <font>
      <b val="true"/>
      <sz val="13"/>
      <color rgb="FF66009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0"/>
      <color rgb="FF80660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6600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2"/>
      <color rgb="FF660099"/>
      <name val="Arial"/>
      <family val="0"/>
      <charset val="1"/>
    </font>
    <font>
      <b val="true"/>
      <sz val="12"/>
      <color rgb="FF8066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rgb="FF1A1A1A"/>
        <bgColor rgb="FF333300"/>
      </patternFill>
    </fill>
    <fill>
      <patternFill patternType="solid">
        <fgColor rgb="FFF4C430"/>
        <bgColor rgb="FFFF9900"/>
      </patternFill>
    </fill>
    <fill>
      <patternFill patternType="solid">
        <fgColor rgb="FFF9F9F9"/>
        <bgColor rgb="FFF5F5F5"/>
      </patternFill>
    </fill>
    <fill>
      <patternFill patternType="solid">
        <fgColor rgb="FFFFCCCC"/>
        <bgColor rgb="FFF0CCFF"/>
      </patternFill>
    </fill>
    <fill>
      <patternFill patternType="solid">
        <fgColor rgb="FFFFFFFF"/>
        <bgColor rgb="FFF9F9F9"/>
      </patternFill>
    </fill>
    <fill>
      <patternFill patternType="solid">
        <fgColor rgb="FFFFE5CC"/>
        <bgColor rgb="FFFFFACC"/>
      </patternFill>
    </fill>
    <fill>
      <patternFill patternType="solid">
        <fgColor rgb="FFFFFACC"/>
        <bgColor rgb="FFF5F5F5"/>
      </patternFill>
    </fill>
    <fill>
      <patternFill patternType="solid">
        <fgColor rgb="FFCCFFCC"/>
        <bgColor rgb="FFF0F0F0"/>
      </patternFill>
    </fill>
    <fill>
      <patternFill patternType="solid">
        <fgColor rgb="FFCCE5FF"/>
        <bgColor rgb="FFDDDDDD"/>
      </patternFill>
    </fill>
    <fill>
      <patternFill patternType="solid">
        <fgColor rgb="FFF0CCFF"/>
        <bgColor rgb="FFFFCCCC"/>
      </patternFill>
    </fill>
    <fill>
      <patternFill patternType="solid">
        <fgColor rgb="FFF5F5F5"/>
        <bgColor rgb="FFF9F9F9"/>
      </patternFill>
    </fill>
    <fill>
      <patternFill patternType="solid">
        <fgColor rgb="FFF0F0F0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medium">
        <color rgb="FFA08C2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6600"/>
      <rgbColor rgb="FF660099"/>
      <rgbColor rgb="FF008080"/>
      <rgbColor rgb="FFCCCCCC"/>
      <rgbColor rgb="FF888888"/>
      <rgbColor rgb="FF9999FF"/>
      <rgbColor rgb="FF993366"/>
      <rgbColor rgb="FFFFFACC"/>
      <rgbColor rgb="FFF0F0F0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5CC"/>
      <rgbColor rgb="FFDDDDDD"/>
      <rgbColor rgb="FFF0CCFF"/>
      <rgbColor rgb="FFF9F9F9"/>
      <rgbColor rgb="FFFFCCCC"/>
      <rgbColor rgb="FF3366FF"/>
      <rgbColor rgb="FF33CCCC"/>
      <rgbColor rgb="FF99CC00"/>
      <rgbColor rgb="FFF4C430"/>
      <rgbColor rgb="FFFF9900"/>
      <rgbColor rgb="FFCC6600"/>
      <rgbColor rgb="FF666699"/>
      <rgbColor rgb="FFA08C20"/>
      <rgbColor rgb="FF003399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40"/>
    <col collapsed="false" customWidth="true" hidden="false" outlineLevel="0" max="10" min="9" style="0" width="28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4" min="14" style="0" width="22"/>
    <col collapsed="false" customWidth="true" hidden="false" outlineLevel="0" max="16" min="15" style="0" width="14"/>
    <col collapsed="false" customWidth="true" hidden="false" outlineLevel="0" max="18" min="17" style="0" width="12"/>
    <col collapsed="false" customWidth="true" hidden="false" outlineLevel="0" max="19" min="19" style="0" width="28"/>
    <col collapsed="false" customWidth="true" hidden="false" outlineLevel="0" max="21" min="21" style="0" width="22"/>
    <col collapsed="false" customWidth="true" hidden="false" outlineLevel="0" max="22" min="22" style="0" width="3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U3" s="4" t="s">
        <v>21</v>
      </c>
      <c r="V3" s="4"/>
    </row>
    <row r="4" customFormat="false" ht="27.75" hidden="false" customHeight="true" outlineLevel="0" collapsed="false">
      <c r="A4" s="5" t="s">
        <v>22</v>
      </c>
      <c r="B4" s="5" t="s">
        <v>23</v>
      </c>
      <c r="C4" s="5" t="s">
        <v>24</v>
      </c>
      <c r="D4" s="6" t="s">
        <v>25</v>
      </c>
      <c r="E4" s="7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5" t="s">
        <v>32</v>
      </c>
      <c r="L4" s="5" t="s">
        <v>33</v>
      </c>
      <c r="M4" s="5" t="s">
        <v>34</v>
      </c>
      <c r="N4" s="6" t="s">
        <v>35</v>
      </c>
      <c r="O4" s="7" t="s">
        <v>36</v>
      </c>
      <c r="P4" s="5" t="s">
        <v>37</v>
      </c>
      <c r="Q4" s="5"/>
      <c r="R4" s="5"/>
      <c r="S4" s="6" t="s">
        <v>38</v>
      </c>
      <c r="U4" s="7" t="s">
        <v>26</v>
      </c>
      <c r="V4" s="8" t="s">
        <v>39</v>
      </c>
    </row>
    <row r="5" customFormat="false" ht="27.75" hidden="false" customHeight="true" outlineLevel="0" collapsed="false">
      <c r="A5" s="9" t="s">
        <v>40</v>
      </c>
      <c r="B5" s="9" t="s">
        <v>23</v>
      </c>
      <c r="C5" s="9" t="s">
        <v>24</v>
      </c>
      <c r="D5" s="10" t="s">
        <v>41</v>
      </c>
      <c r="E5" s="7" t="s">
        <v>26</v>
      </c>
      <c r="F5" s="10" t="s">
        <v>42</v>
      </c>
      <c r="G5" s="10" t="s">
        <v>43</v>
      </c>
      <c r="H5" s="10" t="s">
        <v>44</v>
      </c>
      <c r="I5" s="10" t="s">
        <v>45</v>
      </c>
      <c r="J5" s="10" t="s">
        <v>46</v>
      </c>
      <c r="K5" s="9" t="s">
        <v>47</v>
      </c>
      <c r="L5" s="9" t="s">
        <v>48</v>
      </c>
      <c r="M5" s="9" t="s">
        <v>34</v>
      </c>
      <c r="N5" s="10" t="s">
        <v>35</v>
      </c>
      <c r="O5" s="7" t="s">
        <v>36</v>
      </c>
      <c r="P5" s="9" t="s">
        <v>37</v>
      </c>
      <c r="Q5" s="9"/>
      <c r="R5" s="9"/>
      <c r="S5" s="10" t="s">
        <v>49</v>
      </c>
      <c r="U5" s="11" t="s">
        <v>50</v>
      </c>
      <c r="V5" s="12" t="s">
        <v>51</v>
      </c>
    </row>
    <row r="6" customFormat="false" ht="27.75" hidden="false" customHeight="true" outlineLevel="0" collapsed="false">
      <c r="A6" s="5" t="s">
        <v>52</v>
      </c>
      <c r="B6" s="5" t="s">
        <v>23</v>
      </c>
      <c r="C6" s="5" t="s">
        <v>53</v>
      </c>
      <c r="D6" s="6" t="s">
        <v>54</v>
      </c>
      <c r="E6" s="11" t="s">
        <v>50</v>
      </c>
      <c r="F6" s="6" t="s">
        <v>55</v>
      </c>
      <c r="G6" s="6" t="s">
        <v>56</v>
      </c>
      <c r="H6" s="6" t="s">
        <v>57</v>
      </c>
      <c r="I6" s="6" t="s">
        <v>58</v>
      </c>
      <c r="J6" s="6" t="s">
        <v>59</v>
      </c>
      <c r="K6" s="5" t="s">
        <v>60</v>
      </c>
      <c r="L6" s="5" t="s">
        <v>48</v>
      </c>
      <c r="M6" s="5" t="s">
        <v>34</v>
      </c>
      <c r="N6" s="6" t="s">
        <v>35</v>
      </c>
      <c r="O6" s="7" t="s">
        <v>36</v>
      </c>
      <c r="P6" s="5" t="s">
        <v>37</v>
      </c>
      <c r="Q6" s="5"/>
      <c r="R6" s="5"/>
      <c r="S6" s="6"/>
      <c r="U6" s="13" t="s">
        <v>61</v>
      </c>
      <c r="V6" s="14" t="s">
        <v>62</v>
      </c>
    </row>
    <row r="7" customFormat="false" ht="27.75" hidden="false" customHeight="true" outlineLevel="0" collapsed="false">
      <c r="A7" s="9" t="s">
        <v>63</v>
      </c>
      <c r="B7" s="9" t="s">
        <v>23</v>
      </c>
      <c r="C7" s="9" t="s">
        <v>24</v>
      </c>
      <c r="D7" s="10" t="s">
        <v>64</v>
      </c>
      <c r="E7" s="7" t="s">
        <v>26</v>
      </c>
      <c r="F7" s="10" t="s">
        <v>42</v>
      </c>
      <c r="G7" s="10" t="s">
        <v>65</v>
      </c>
      <c r="H7" s="10" t="s">
        <v>66</v>
      </c>
      <c r="I7" s="10" t="s">
        <v>67</v>
      </c>
      <c r="J7" s="10" t="s">
        <v>68</v>
      </c>
      <c r="K7" s="9" t="s">
        <v>69</v>
      </c>
      <c r="L7" s="9" t="s">
        <v>70</v>
      </c>
      <c r="M7" s="9" t="s">
        <v>34</v>
      </c>
      <c r="N7" s="10" t="s">
        <v>35</v>
      </c>
      <c r="O7" s="7" t="s">
        <v>36</v>
      </c>
      <c r="P7" s="9" t="s">
        <v>37</v>
      </c>
      <c r="Q7" s="9"/>
      <c r="R7" s="9"/>
      <c r="S7" s="10" t="s">
        <v>71</v>
      </c>
      <c r="U7" s="15" t="s">
        <v>72</v>
      </c>
      <c r="V7" s="16" t="s">
        <v>73</v>
      </c>
    </row>
    <row r="8" customFormat="false" ht="54.75" hidden="false" customHeight="true" outlineLevel="0" collapsed="false">
      <c r="A8" s="5" t="s">
        <v>74</v>
      </c>
      <c r="B8" s="5" t="s">
        <v>23</v>
      </c>
      <c r="C8" s="5" t="s">
        <v>75</v>
      </c>
      <c r="D8" s="6" t="s">
        <v>25</v>
      </c>
      <c r="E8" s="13" t="s">
        <v>61</v>
      </c>
      <c r="F8" s="6" t="s">
        <v>55</v>
      </c>
      <c r="G8" s="6" t="s">
        <v>76</v>
      </c>
      <c r="H8" s="6" t="s">
        <v>77</v>
      </c>
      <c r="I8" s="6" t="s">
        <v>78</v>
      </c>
      <c r="J8" s="6" t="s">
        <v>79</v>
      </c>
      <c r="K8" s="5" t="s">
        <v>80</v>
      </c>
      <c r="L8" s="5" t="s">
        <v>33</v>
      </c>
      <c r="M8" s="5" t="s">
        <v>34</v>
      </c>
      <c r="N8" s="6" t="s">
        <v>35</v>
      </c>
      <c r="O8" s="7" t="s">
        <v>36</v>
      </c>
      <c r="P8" s="5" t="s">
        <v>37</v>
      </c>
      <c r="Q8" s="5"/>
      <c r="R8" s="5"/>
      <c r="S8" s="6" t="s">
        <v>81</v>
      </c>
      <c r="U8" s="17" t="s">
        <v>82</v>
      </c>
      <c r="V8" s="17"/>
    </row>
    <row r="9" customFormat="false" ht="24" hidden="false" customHeight="true" outlineLevel="0" collapsed="false">
      <c r="A9" s="18" t="s">
        <v>83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U9" s="7" t="s">
        <v>36</v>
      </c>
      <c r="V9" s="8" t="s">
        <v>84</v>
      </c>
    </row>
    <row r="10" customFormat="false" ht="24" hidden="false" customHeight="true" outlineLevel="0" collapsed="false">
      <c r="A10" s="19" t="s">
        <v>85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U10" s="11" t="s">
        <v>86</v>
      </c>
      <c r="V10" s="12" t="s">
        <v>87</v>
      </c>
    </row>
    <row r="11" customFormat="false" ht="24" hidden="false" customHeight="true" outlineLevel="0" collapsed="false">
      <c r="A11" s="18" t="s">
        <v>88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U11" s="20" t="s">
        <v>89</v>
      </c>
      <c r="V11" s="21" t="s">
        <v>90</v>
      </c>
    </row>
    <row r="12" customFormat="false" ht="24" hidden="false" customHeight="true" outlineLevel="0" collapsed="false">
      <c r="A12" s="19" t="s">
        <v>91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U12" s="15" t="s">
        <v>92</v>
      </c>
      <c r="V12" s="16" t="s">
        <v>93</v>
      </c>
    </row>
    <row r="13" customFormat="false" ht="24" hidden="false" customHeight="true" outlineLevel="0" collapsed="false">
      <c r="A13" s="18" t="s">
        <v>94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U13" s="22" t="s">
        <v>95</v>
      </c>
      <c r="V13" s="23" t="s">
        <v>96</v>
      </c>
    </row>
    <row r="14" customFormat="false" ht="39.75" hidden="false" customHeight="true" outlineLevel="0" collapsed="false">
      <c r="A14" s="19" t="s">
        <v>97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customFormat="false" ht="39.75" hidden="false" customHeight="true" outlineLevel="0" collapsed="false">
      <c r="A15" s="18" t="s">
        <v>98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customFormat="false" ht="39.75" hidden="false" customHeight="true" outlineLevel="0" collapsed="false">
      <c r="A16" s="19" t="s">
        <v>99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customFormat="false" ht="39.75" hidden="false" customHeight="true" outlineLevel="0" collapsed="false">
      <c r="A17" s="18" t="s">
        <v>100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customFormat="false" ht="39.75" hidden="false" customHeight="true" outlineLevel="0" collapsed="false">
      <c r="A18" s="19" t="s">
        <v>101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customFormat="false" ht="39.75" hidden="false" customHeight="true" outlineLevel="0" collapsed="false">
      <c r="A19" s="18" t="s">
        <v>102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customFormat="false" ht="39.75" hidden="false" customHeight="true" outlineLevel="0" collapsed="false">
      <c r="A20" s="19" t="s">
        <v>103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customFormat="false" ht="39.75" hidden="false" customHeight="true" outlineLevel="0" collapsed="false">
      <c r="A21" s="18" t="s">
        <v>104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customFormat="false" ht="39.75" hidden="false" customHeight="true" outlineLevel="0" collapsed="false">
      <c r="A22" s="19" t="s">
        <v>105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customFormat="false" ht="39.75" hidden="false" customHeight="true" outlineLevel="0" collapsed="false">
      <c r="A23" s="18" t="s">
        <v>106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customFormat="false" ht="39.75" hidden="false" customHeight="true" outlineLevel="0" collapsed="false">
      <c r="A24" s="19" t="s">
        <v>107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customFormat="false" ht="39.75" hidden="false" customHeight="true" outlineLevel="0" collapsed="false">
      <c r="A25" s="18" t="s">
        <v>108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customFormat="false" ht="39.75" hidden="false" customHeight="true" outlineLevel="0" collapsed="false">
      <c r="A26" s="19" t="s">
        <v>109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customFormat="false" ht="39.75" hidden="false" customHeight="true" outlineLevel="0" collapsed="false">
      <c r="A27" s="18" t="s">
        <v>110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customFormat="false" ht="39.75" hidden="false" customHeight="true" outlineLevel="0" collapsed="false">
      <c r="A28" s="19" t="s">
        <v>111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39.75" hidden="false" customHeight="true" outlineLevel="0" collapsed="false">
      <c r="A29" s="18" t="s">
        <v>112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customFormat="false" ht="39.75" hidden="false" customHeight="true" outlineLevel="0" collapsed="false">
      <c r="A30" s="19" t="s">
        <v>113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customFormat="false" ht="39.75" hidden="false" customHeight="true" outlineLevel="0" collapsed="false">
      <c r="A31" s="18" t="s">
        <v>114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customFormat="false" ht="39.75" hidden="false" customHeight="true" outlineLevel="0" collapsed="false">
      <c r="A32" s="19" t="s">
        <v>115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customFormat="false" ht="39.75" hidden="false" customHeight="true" outlineLevel="0" collapsed="false">
      <c r="A33" s="18" t="s">
        <v>116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customFormat="false" ht="39.75" hidden="false" customHeight="true" outlineLevel="0" collapsed="false">
      <c r="A34" s="19" t="s">
        <v>117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customFormat="false" ht="39.75" hidden="false" customHeight="true" outlineLevel="0" collapsed="false">
      <c r="A35" s="18" t="s">
        <v>118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customFormat="false" ht="39.75" hidden="false" customHeight="true" outlineLevel="0" collapsed="false">
      <c r="A36" s="19" t="s">
        <v>119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customFormat="false" ht="39.75" hidden="false" customHeight="true" outlineLevel="0" collapsed="false">
      <c r="A37" s="18" t="s">
        <v>120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customFormat="false" ht="39.75" hidden="false" customHeight="true" outlineLevel="0" collapsed="false">
      <c r="A38" s="19" t="s">
        <v>121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customFormat="false" ht="39.75" hidden="false" customHeight="true" outlineLevel="0" collapsed="false">
      <c r="A39" s="18" t="s">
        <v>122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customFormat="false" ht="39.75" hidden="false" customHeight="true" outlineLevel="0" collapsed="false">
      <c r="A40" s="19" t="s">
        <v>123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customFormat="false" ht="39.75" hidden="false" customHeight="true" outlineLevel="0" collapsed="false">
      <c r="A41" s="18" t="s">
        <v>124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customFormat="false" ht="39.75" hidden="false" customHeight="true" outlineLevel="0" collapsed="false">
      <c r="A42" s="19" t="s">
        <v>125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customFormat="false" ht="39.75" hidden="false" customHeight="true" outlineLevel="0" collapsed="false">
      <c r="A43" s="18" t="s">
        <v>126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customFormat="false" ht="39.75" hidden="false" customHeight="true" outlineLevel="0" collapsed="false">
      <c r="A44" s="19" t="s">
        <v>127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customFormat="false" ht="39.75" hidden="false" customHeight="true" outlineLevel="0" collapsed="false">
      <c r="A45" s="18" t="s">
        <v>128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customFormat="false" ht="39.75" hidden="false" customHeight="true" outlineLevel="0" collapsed="false">
      <c r="A46" s="19" t="s">
        <v>129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customFormat="false" ht="39.75" hidden="false" customHeight="true" outlineLevel="0" collapsed="false">
      <c r="A47" s="18" t="s">
        <v>130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customFormat="false" ht="39.75" hidden="false" customHeight="true" outlineLevel="0" collapsed="false">
      <c r="A48" s="19" t="s">
        <v>131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customFormat="false" ht="39.75" hidden="false" customHeight="true" outlineLevel="0" collapsed="false">
      <c r="A49" s="18" t="s">
        <v>132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customFormat="false" ht="39.75" hidden="false" customHeight="true" outlineLevel="0" collapsed="false">
      <c r="A50" s="19" t="s">
        <v>133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customFormat="false" ht="39.75" hidden="false" customHeight="true" outlineLevel="0" collapsed="false">
      <c r="A51" s="18" t="s">
        <v>134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customFormat="false" ht="39.75" hidden="false" customHeight="true" outlineLevel="0" collapsed="false">
      <c r="A52" s="19" t="s">
        <v>135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customFormat="false" ht="39.75" hidden="false" customHeight="true" outlineLevel="0" collapsed="false">
      <c r="A53" s="18" t="s">
        <v>136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customFormat="false" ht="39.75" hidden="false" customHeight="true" outlineLevel="0" collapsed="false">
      <c r="A54" s="19" t="s">
        <v>137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customFormat="false" ht="39.75" hidden="false" customHeight="true" outlineLevel="0" collapsed="false">
      <c r="A55" s="18" t="s">
        <v>138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customFormat="false" ht="39.75" hidden="false" customHeight="true" outlineLevel="0" collapsed="false">
      <c r="A56" s="19" t="s">
        <v>139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customFormat="false" ht="39.75" hidden="false" customHeight="true" outlineLevel="0" collapsed="false">
      <c r="A57" s="18" t="s">
        <v>140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customFormat="false" ht="39.75" hidden="false" customHeight="true" outlineLevel="0" collapsed="false">
      <c r="A58" s="19" t="s">
        <v>141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customFormat="false" ht="39.75" hidden="false" customHeight="true" outlineLevel="0" collapsed="false">
      <c r="A59" s="18" t="s">
        <v>142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</sheetData>
  <mergeCells count="4">
    <mergeCell ref="A1:S1"/>
    <mergeCell ref="A2:S2"/>
    <mergeCell ref="U3:V3"/>
    <mergeCell ref="U8:V8"/>
  </mergeCells>
  <dataValidations count="4">
    <dataValidation allowBlank="true" errorStyle="stop" operator="between" showDropDown="false" showErrorMessage="false" showInputMessage="false" sqref="E4:E200" type="list">
      <formula1>"P1 — Critical,P2 — High,P3 — Medium,P4 — Low"</formula1>
      <formula2>0</formula2>
    </dataValidation>
    <dataValidation allowBlank="true" errorStyle="stop" operator="between" showDropDown="false" showErrorMessage="false" showInputMessage="false" sqref="F4:F200" type="list">
      <formula1>"Bug,Crash,UI,UX,Performance,Security,Localization,Other"</formula1>
      <formula2>0</formula2>
    </dataValidation>
    <dataValidation allowBlank="true" errorStyle="stop" operator="between" showDropDown="false" showErrorMessage="false" showInputMessage="false" sqref="O4:O200" type="list">
      <formula1>"Open,In Progress,Fixed,Verified,Won't Fix"</formula1>
      <formula2>0</formula2>
    </dataValidation>
    <dataValidation allowBlank="true" errorStyle="stop" operator="between" showDropDown="false" showErrorMessage="false" showInputMessage="false" sqref="P4:P200" type="list">
      <formula1>"Joe,Mighty,Ake,Fim,Sr. Dev,Jr. Dev #1,Jr. Dev #2"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7" min="7" style="0" width="14"/>
  </cols>
  <sheetData>
    <row r="1" customFormat="false" ht="37.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145</v>
      </c>
      <c r="B3" s="3" t="s">
        <v>146</v>
      </c>
      <c r="C3" s="3" t="s">
        <v>147</v>
      </c>
      <c r="D3" s="3" t="s">
        <v>148</v>
      </c>
      <c r="E3" s="3" t="s">
        <v>149</v>
      </c>
      <c r="F3" s="3" t="s">
        <v>150</v>
      </c>
      <c r="G3" s="3" t="s">
        <v>151</v>
      </c>
    </row>
    <row r="4" customFormat="false" ht="24" hidden="false" customHeight="true" outlineLevel="0" collapsed="false">
      <c r="A4" s="24" t="s">
        <v>152</v>
      </c>
      <c r="B4" s="24"/>
      <c r="C4" s="24"/>
      <c r="D4" s="24"/>
      <c r="E4" s="24"/>
      <c r="F4" s="24"/>
      <c r="G4" s="24"/>
    </row>
    <row r="5" customFormat="false" ht="30" hidden="false" customHeight="true" outlineLevel="0" collapsed="false">
      <c r="A5" s="25" t="n">
        <v>1</v>
      </c>
      <c r="B5" s="10" t="s">
        <v>153</v>
      </c>
      <c r="C5" s="10" t="s">
        <v>154</v>
      </c>
      <c r="D5" s="26"/>
      <c r="E5" s="27"/>
      <c r="F5" s="10"/>
      <c r="G5" s="10"/>
    </row>
    <row r="6" customFormat="false" ht="30" hidden="false" customHeight="true" outlineLevel="0" collapsed="false">
      <c r="A6" s="28" t="n">
        <v>2</v>
      </c>
      <c r="B6" s="6" t="s">
        <v>155</v>
      </c>
      <c r="C6" s="6" t="s">
        <v>156</v>
      </c>
      <c r="D6" s="29"/>
      <c r="E6" s="30"/>
      <c r="F6" s="6"/>
      <c r="G6" s="6"/>
    </row>
    <row r="7" customFormat="false" ht="30" hidden="false" customHeight="true" outlineLevel="0" collapsed="false">
      <c r="A7" s="25" t="n">
        <v>3</v>
      </c>
      <c r="B7" s="10" t="s">
        <v>157</v>
      </c>
      <c r="C7" s="10" t="s">
        <v>158</v>
      </c>
      <c r="D7" s="26"/>
      <c r="E7" s="27"/>
      <c r="F7" s="10"/>
      <c r="G7" s="10"/>
    </row>
    <row r="8" customFormat="false" ht="30" hidden="false" customHeight="true" outlineLevel="0" collapsed="false">
      <c r="A8" s="28" t="n">
        <v>4</v>
      </c>
      <c r="B8" s="6" t="s">
        <v>159</v>
      </c>
      <c r="C8" s="6" t="s">
        <v>160</v>
      </c>
      <c r="D8" s="29"/>
      <c r="E8" s="30"/>
      <c r="F8" s="6"/>
      <c r="G8" s="6"/>
    </row>
    <row r="9" customFormat="false" ht="30" hidden="false" customHeight="true" outlineLevel="0" collapsed="false">
      <c r="A9" s="25" t="n">
        <v>5</v>
      </c>
      <c r="B9" s="10" t="s">
        <v>161</v>
      </c>
      <c r="C9" s="10" t="s">
        <v>162</v>
      </c>
      <c r="D9" s="26"/>
      <c r="E9" s="27"/>
      <c r="F9" s="10"/>
      <c r="G9" s="10"/>
    </row>
    <row r="10" customFormat="false" ht="30" hidden="false" customHeight="true" outlineLevel="0" collapsed="false">
      <c r="A10" s="28" t="n">
        <v>6</v>
      </c>
      <c r="B10" s="6" t="s">
        <v>163</v>
      </c>
      <c r="C10" s="6" t="s">
        <v>164</v>
      </c>
      <c r="D10" s="29"/>
      <c r="E10" s="30"/>
      <c r="F10" s="6"/>
      <c r="G10" s="6"/>
    </row>
    <row r="11" customFormat="false" ht="24" hidden="false" customHeight="true" outlineLevel="0" collapsed="false">
      <c r="A11" s="24" t="s">
        <v>165</v>
      </c>
      <c r="B11" s="24"/>
      <c r="C11" s="24"/>
      <c r="D11" s="24"/>
      <c r="E11" s="24"/>
      <c r="F11" s="24"/>
      <c r="G11" s="24"/>
    </row>
    <row r="12" customFormat="false" ht="30" hidden="false" customHeight="true" outlineLevel="0" collapsed="false">
      <c r="A12" s="25" t="n">
        <v>7</v>
      </c>
      <c r="B12" s="10" t="s">
        <v>166</v>
      </c>
      <c r="C12" s="10" t="s">
        <v>167</v>
      </c>
      <c r="D12" s="26"/>
      <c r="E12" s="27"/>
      <c r="F12" s="10"/>
      <c r="G12" s="10"/>
    </row>
    <row r="13" customFormat="false" ht="30" hidden="false" customHeight="true" outlineLevel="0" collapsed="false">
      <c r="A13" s="28" t="n">
        <v>8</v>
      </c>
      <c r="B13" s="6" t="s">
        <v>168</v>
      </c>
      <c r="C13" s="6" t="s">
        <v>169</v>
      </c>
      <c r="D13" s="29"/>
      <c r="E13" s="30"/>
      <c r="F13" s="6"/>
      <c r="G13" s="6"/>
    </row>
    <row r="14" customFormat="false" ht="30" hidden="false" customHeight="true" outlineLevel="0" collapsed="false">
      <c r="A14" s="25" t="n">
        <v>9</v>
      </c>
      <c r="B14" s="10" t="s">
        <v>170</v>
      </c>
      <c r="C14" s="10" t="s">
        <v>171</v>
      </c>
      <c r="D14" s="26"/>
      <c r="E14" s="27"/>
      <c r="F14" s="10"/>
      <c r="G14" s="10"/>
    </row>
    <row r="15" customFormat="false" ht="30" hidden="false" customHeight="true" outlineLevel="0" collapsed="false">
      <c r="A15" s="28" t="n">
        <v>10</v>
      </c>
      <c r="B15" s="6" t="s">
        <v>172</v>
      </c>
      <c r="C15" s="6" t="s">
        <v>173</v>
      </c>
      <c r="D15" s="29"/>
      <c r="E15" s="30"/>
      <c r="F15" s="6"/>
      <c r="G15" s="6"/>
    </row>
    <row r="16" customFormat="false" ht="30" hidden="false" customHeight="true" outlineLevel="0" collapsed="false">
      <c r="A16" s="25" t="n">
        <v>11</v>
      </c>
      <c r="B16" s="10" t="s">
        <v>174</v>
      </c>
      <c r="C16" s="10" t="s">
        <v>175</v>
      </c>
      <c r="D16" s="26"/>
      <c r="E16" s="27"/>
      <c r="F16" s="10"/>
      <c r="G16" s="10"/>
    </row>
    <row r="17" customFormat="false" ht="30" hidden="false" customHeight="true" outlineLevel="0" collapsed="false">
      <c r="A17" s="28" t="n">
        <v>12</v>
      </c>
      <c r="B17" s="6" t="s">
        <v>176</v>
      </c>
      <c r="C17" s="6" t="s">
        <v>177</v>
      </c>
      <c r="D17" s="29"/>
      <c r="E17" s="30"/>
      <c r="F17" s="6"/>
      <c r="G17" s="6"/>
    </row>
    <row r="18" customFormat="false" ht="30" hidden="false" customHeight="true" outlineLevel="0" collapsed="false">
      <c r="A18" s="25" t="n">
        <v>13</v>
      </c>
      <c r="B18" s="10" t="s">
        <v>178</v>
      </c>
      <c r="C18" s="10" t="s">
        <v>179</v>
      </c>
      <c r="D18" s="26"/>
      <c r="E18" s="27"/>
      <c r="F18" s="10"/>
      <c r="G18" s="10"/>
    </row>
    <row r="19" customFormat="false" ht="24" hidden="false" customHeight="true" outlineLevel="0" collapsed="false">
      <c r="A19" s="24" t="s">
        <v>180</v>
      </c>
      <c r="B19" s="24"/>
      <c r="C19" s="24"/>
      <c r="D19" s="24"/>
      <c r="E19" s="24"/>
      <c r="F19" s="24"/>
      <c r="G19" s="24"/>
    </row>
    <row r="20" customFormat="false" ht="30" hidden="false" customHeight="true" outlineLevel="0" collapsed="false">
      <c r="A20" s="28" t="n">
        <v>14</v>
      </c>
      <c r="B20" s="6" t="s">
        <v>181</v>
      </c>
      <c r="C20" s="6" t="s">
        <v>182</v>
      </c>
      <c r="D20" s="29"/>
      <c r="E20" s="30"/>
      <c r="F20" s="6"/>
      <c r="G20" s="6"/>
    </row>
    <row r="21" customFormat="false" ht="30" hidden="false" customHeight="true" outlineLevel="0" collapsed="false">
      <c r="A21" s="25" t="n">
        <v>15</v>
      </c>
      <c r="B21" s="10" t="s">
        <v>183</v>
      </c>
      <c r="C21" s="10" t="s">
        <v>184</v>
      </c>
      <c r="D21" s="26"/>
      <c r="E21" s="27"/>
      <c r="F21" s="10"/>
      <c r="G21" s="10"/>
    </row>
    <row r="22" customFormat="false" ht="30" hidden="false" customHeight="true" outlineLevel="0" collapsed="false">
      <c r="A22" s="28" t="n">
        <v>16</v>
      </c>
      <c r="B22" s="6" t="s">
        <v>185</v>
      </c>
      <c r="C22" s="6" t="s">
        <v>186</v>
      </c>
      <c r="D22" s="29"/>
      <c r="E22" s="30"/>
      <c r="F22" s="6"/>
      <c r="G22" s="6"/>
    </row>
    <row r="23" customFormat="false" ht="24" hidden="false" customHeight="true" outlineLevel="0" collapsed="false">
      <c r="A23" s="24" t="s">
        <v>187</v>
      </c>
      <c r="B23" s="24"/>
      <c r="C23" s="24"/>
      <c r="D23" s="24"/>
      <c r="E23" s="24"/>
      <c r="F23" s="24"/>
      <c r="G23" s="24"/>
    </row>
    <row r="24" customFormat="false" ht="30" hidden="false" customHeight="true" outlineLevel="0" collapsed="false">
      <c r="A24" s="25" t="n">
        <v>17</v>
      </c>
      <c r="B24" s="10" t="s">
        <v>188</v>
      </c>
      <c r="C24" s="10" t="s">
        <v>189</v>
      </c>
      <c r="D24" s="26"/>
      <c r="E24" s="27"/>
      <c r="F24" s="10"/>
      <c r="G24" s="10"/>
    </row>
    <row r="25" customFormat="false" ht="30" hidden="false" customHeight="true" outlineLevel="0" collapsed="false">
      <c r="A25" s="28" t="n">
        <v>18</v>
      </c>
      <c r="B25" s="6" t="s">
        <v>190</v>
      </c>
      <c r="C25" s="6" t="s">
        <v>191</v>
      </c>
      <c r="D25" s="29"/>
      <c r="E25" s="30"/>
      <c r="F25" s="6"/>
      <c r="G25" s="6"/>
    </row>
    <row r="26" customFormat="false" ht="30" hidden="false" customHeight="true" outlineLevel="0" collapsed="false">
      <c r="A26" s="25" t="n">
        <v>19</v>
      </c>
      <c r="B26" s="10" t="s">
        <v>192</v>
      </c>
      <c r="C26" s="10" t="s">
        <v>193</v>
      </c>
      <c r="D26" s="26"/>
      <c r="E26" s="27"/>
      <c r="F26" s="10"/>
      <c r="G26" s="10"/>
    </row>
    <row r="27" customFormat="false" ht="30" hidden="false" customHeight="true" outlineLevel="0" collapsed="false">
      <c r="A27" s="28" t="n">
        <v>20</v>
      </c>
      <c r="B27" s="6" t="s">
        <v>194</v>
      </c>
      <c r="C27" s="6" t="s">
        <v>195</v>
      </c>
      <c r="D27" s="29"/>
      <c r="E27" s="30"/>
      <c r="F27" s="6"/>
      <c r="G27" s="6"/>
    </row>
    <row r="28" customFormat="false" ht="30" hidden="false" customHeight="true" outlineLevel="0" collapsed="false">
      <c r="A28" s="25" t="n">
        <v>21</v>
      </c>
      <c r="B28" s="10" t="s">
        <v>196</v>
      </c>
      <c r="C28" s="10" t="s">
        <v>197</v>
      </c>
      <c r="D28" s="26"/>
      <c r="E28" s="27"/>
      <c r="F28" s="10"/>
      <c r="G28" s="10"/>
    </row>
    <row r="29" customFormat="false" ht="30" hidden="false" customHeight="true" outlineLevel="0" collapsed="false">
      <c r="A29" s="28" t="n">
        <v>22</v>
      </c>
      <c r="B29" s="6" t="s">
        <v>198</v>
      </c>
      <c r="C29" s="6" t="s">
        <v>199</v>
      </c>
      <c r="D29" s="29"/>
      <c r="E29" s="30"/>
      <c r="F29" s="6"/>
      <c r="G29" s="6"/>
    </row>
    <row r="30" customFormat="false" ht="30" hidden="false" customHeight="true" outlineLevel="0" collapsed="false">
      <c r="A30" s="25" t="n">
        <v>23</v>
      </c>
      <c r="B30" s="10" t="s">
        <v>200</v>
      </c>
      <c r="C30" s="10" t="s">
        <v>201</v>
      </c>
      <c r="D30" s="26"/>
      <c r="E30" s="27"/>
      <c r="F30" s="10"/>
      <c r="G30" s="10"/>
    </row>
    <row r="31" customFormat="false" ht="30" hidden="false" customHeight="true" outlineLevel="0" collapsed="false">
      <c r="A31" s="28" t="n">
        <v>24</v>
      </c>
      <c r="B31" s="6" t="s">
        <v>202</v>
      </c>
      <c r="C31" s="6" t="s">
        <v>203</v>
      </c>
      <c r="D31" s="29"/>
      <c r="E31" s="30"/>
      <c r="F31" s="6"/>
      <c r="G31" s="6"/>
    </row>
    <row r="32" customFormat="false" ht="24" hidden="false" customHeight="true" outlineLevel="0" collapsed="false">
      <c r="A32" s="24" t="s">
        <v>204</v>
      </c>
      <c r="B32" s="24"/>
      <c r="C32" s="24"/>
      <c r="D32" s="24"/>
      <c r="E32" s="24"/>
      <c r="F32" s="24"/>
      <c r="G32" s="24"/>
    </row>
    <row r="33" customFormat="false" ht="30" hidden="false" customHeight="true" outlineLevel="0" collapsed="false">
      <c r="A33" s="25" t="n">
        <v>25</v>
      </c>
      <c r="B33" s="10" t="s">
        <v>205</v>
      </c>
      <c r="C33" s="10" t="s">
        <v>206</v>
      </c>
      <c r="D33" s="26"/>
      <c r="E33" s="27"/>
      <c r="F33" s="10"/>
      <c r="G33" s="10"/>
    </row>
    <row r="34" customFormat="false" ht="30" hidden="false" customHeight="true" outlineLevel="0" collapsed="false">
      <c r="A34" s="28" t="n">
        <v>26</v>
      </c>
      <c r="B34" s="6" t="s">
        <v>207</v>
      </c>
      <c r="C34" s="6" t="s">
        <v>208</v>
      </c>
      <c r="D34" s="29"/>
      <c r="E34" s="30"/>
      <c r="F34" s="6"/>
      <c r="G34" s="6"/>
    </row>
    <row r="35" customFormat="false" ht="30" hidden="false" customHeight="true" outlineLevel="0" collapsed="false">
      <c r="A35" s="25" t="n">
        <v>27</v>
      </c>
      <c r="B35" s="10" t="s">
        <v>209</v>
      </c>
      <c r="C35" s="10" t="s">
        <v>210</v>
      </c>
      <c r="D35" s="26"/>
      <c r="E35" s="27"/>
      <c r="F35" s="10"/>
      <c r="G35" s="10"/>
    </row>
    <row r="36" customFormat="false" ht="30" hidden="false" customHeight="true" outlineLevel="0" collapsed="false">
      <c r="A36" s="28" t="n">
        <v>28</v>
      </c>
      <c r="B36" s="6" t="s">
        <v>211</v>
      </c>
      <c r="C36" s="6" t="s">
        <v>212</v>
      </c>
      <c r="D36" s="29"/>
      <c r="E36" s="30"/>
      <c r="F36" s="6"/>
      <c r="G36" s="6"/>
    </row>
    <row r="37" customFormat="false" ht="30" hidden="false" customHeight="true" outlineLevel="0" collapsed="false">
      <c r="A37" s="25" t="n">
        <v>29</v>
      </c>
      <c r="B37" s="10" t="s">
        <v>213</v>
      </c>
      <c r="C37" s="10" t="s">
        <v>214</v>
      </c>
      <c r="D37" s="26"/>
      <c r="E37" s="27"/>
      <c r="F37" s="10"/>
      <c r="G37" s="10"/>
    </row>
    <row r="38" customFormat="false" ht="24" hidden="false" customHeight="true" outlineLevel="0" collapsed="false">
      <c r="A38" s="24" t="s">
        <v>215</v>
      </c>
      <c r="B38" s="24"/>
      <c r="C38" s="24"/>
      <c r="D38" s="24"/>
      <c r="E38" s="24"/>
      <c r="F38" s="24"/>
      <c r="G38" s="24"/>
    </row>
    <row r="39" customFormat="false" ht="30" hidden="false" customHeight="true" outlineLevel="0" collapsed="false">
      <c r="A39" s="28" t="n">
        <v>30</v>
      </c>
      <c r="B39" s="6" t="s">
        <v>216</v>
      </c>
      <c r="C39" s="6" t="s">
        <v>217</v>
      </c>
      <c r="D39" s="29"/>
      <c r="E39" s="30"/>
      <c r="F39" s="6"/>
      <c r="G39" s="6"/>
    </row>
    <row r="40" customFormat="false" ht="30" hidden="false" customHeight="true" outlineLevel="0" collapsed="false">
      <c r="A40" s="25" t="n">
        <v>31</v>
      </c>
      <c r="B40" s="10" t="s">
        <v>207</v>
      </c>
      <c r="C40" s="10" t="s">
        <v>218</v>
      </c>
      <c r="D40" s="26"/>
      <c r="E40" s="27"/>
      <c r="F40" s="10"/>
      <c r="G40" s="10"/>
    </row>
    <row r="41" customFormat="false" ht="30" hidden="false" customHeight="true" outlineLevel="0" collapsed="false">
      <c r="A41" s="28" t="n">
        <v>32</v>
      </c>
      <c r="B41" s="6" t="s">
        <v>219</v>
      </c>
      <c r="C41" s="6" t="s">
        <v>220</v>
      </c>
      <c r="D41" s="29"/>
      <c r="E41" s="30"/>
      <c r="F41" s="6"/>
      <c r="G41" s="6"/>
    </row>
    <row r="42" customFormat="false" ht="30" hidden="false" customHeight="true" outlineLevel="0" collapsed="false">
      <c r="A42" s="25" t="n">
        <v>33</v>
      </c>
      <c r="B42" s="10" t="s">
        <v>221</v>
      </c>
      <c r="C42" s="10" t="s">
        <v>222</v>
      </c>
      <c r="D42" s="26"/>
      <c r="E42" s="27"/>
      <c r="F42" s="10"/>
      <c r="G42" s="10"/>
    </row>
    <row r="43" customFormat="false" ht="30" hidden="false" customHeight="true" outlineLevel="0" collapsed="false">
      <c r="A43" s="28" t="n">
        <v>34</v>
      </c>
      <c r="B43" s="6" t="s">
        <v>223</v>
      </c>
      <c r="C43" s="6" t="s">
        <v>224</v>
      </c>
      <c r="D43" s="29"/>
      <c r="E43" s="30"/>
      <c r="F43" s="6"/>
      <c r="G43" s="6"/>
    </row>
    <row r="44" customFormat="false" ht="24" hidden="false" customHeight="true" outlineLevel="0" collapsed="false">
      <c r="A44" s="24" t="s">
        <v>225</v>
      </c>
      <c r="B44" s="24"/>
      <c r="C44" s="24"/>
      <c r="D44" s="24"/>
      <c r="E44" s="24"/>
      <c r="F44" s="24"/>
      <c r="G44" s="24"/>
    </row>
    <row r="45" customFormat="false" ht="30" hidden="false" customHeight="true" outlineLevel="0" collapsed="false">
      <c r="A45" s="25" t="n">
        <v>35</v>
      </c>
      <c r="B45" s="10" t="s">
        <v>226</v>
      </c>
      <c r="C45" s="10" t="s">
        <v>227</v>
      </c>
      <c r="D45" s="26"/>
      <c r="E45" s="27"/>
      <c r="F45" s="10"/>
      <c r="G45" s="10"/>
    </row>
    <row r="46" customFormat="false" ht="30" hidden="false" customHeight="true" outlineLevel="0" collapsed="false">
      <c r="A46" s="28" t="n">
        <v>36</v>
      </c>
      <c r="B46" s="6" t="s">
        <v>228</v>
      </c>
      <c r="C46" s="6" t="s">
        <v>229</v>
      </c>
      <c r="D46" s="29"/>
      <c r="E46" s="30"/>
      <c r="F46" s="6"/>
      <c r="G46" s="6"/>
    </row>
    <row r="47" customFormat="false" ht="30" hidden="false" customHeight="true" outlineLevel="0" collapsed="false">
      <c r="A47" s="25" t="n">
        <v>37</v>
      </c>
      <c r="B47" s="10" t="s">
        <v>230</v>
      </c>
      <c r="C47" s="10" t="s">
        <v>231</v>
      </c>
      <c r="D47" s="26"/>
      <c r="E47" s="27"/>
      <c r="F47" s="10"/>
      <c r="G47" s="10"/>
    </row>
    <row r="48" customFormat="false" ht="24" hidden="false" customHeight="true" outlineLevel="0" collapsed="false">
      <c r="A48" s="24" t="s">
        <v>232</v>
      </c>
      <c r="B48" s="24"/>
      <c r="C48" s="24"/>
      <c r="D48" s="24"/>
      <c r="E48" s="24"/>
      <c r="F48" s="24"/>
      <c r="G48" s="24"/>
    </row>
    <row r="49" customFormat="false" ht="30" hidden="false" customHeight="true" outlineLevel="0" collapsed="false">
      <c r="A49" s="28" t="n">
        <v>38</v>
      </c>
      <c r="B49" s="6" t="s">
        <v>233</v>
      </c>
      <c r="C49" s="6" t="s">
        <v>234</v>
      </c>
      <c r="D49" s="29"/>
      <c r="E49" s="30"/>
      <c r="F49" s="6"/>
      <c r="G49" s="6"/>
    </row>
    <row r="50" customFormat="false" ht="30" hidden="false" customHeight="true" outlineLevel="0" collapsed="false">
      <c r="A50" s="25" t="n">
        <v>39</v>
      </c>
      <c r="B50" s="10" t="s">
        <v>235</v>
      </c>
      <c r="C50" s="10" t="s">
        <v>236</v>
      </c>
      <c r="D50" s="26"/>
      <c r="E50" s="27"/>
      <c r="F50" s="10"/>
      <c r="G50" s="10"/>
    </row>
    <row r="51" customFormat="false" ht="30" hidden="false" customHeight="true" outlineLevel="0" collapsed="false">
      <c r="A51" s="28" t="n">
        <v>40</v>
      </c>
      <c r="B51" s="6" t="s">
        <v>237</v>
      </c>
      <c r="C51" s="6" t="s">
        <v>238</v>
      </c>
      <c r="D51" s="29"/>
      <c r="E51" s="30"/>
      <c r="F51" s="6"/>
      <c r="G51" s="6"/>
    </row>
    <row r="52" customFormat="false" ht="30" hidden="false" customHeight="true" outlineLevel="0" collapsed="false">
      <c r="A52" s="25" t="n">
        <v>41</v>
      </c>
      <c r="B52" s="10" t="s">
        <v>239</v>
      </c>
      <c r="C52" s="10" t="s">
        <v>240</v>
      </c>
      <c r="D52" s="26"/>
      <c r="E52" s="27"/>
      <c r="F52" s="10"/>
      <c r="G52" s="10"/>
    </row>
    <row r="53" customFormat="false" ht="24" hidden="false" customHeight="true" outlineLevel="0" collapsed="false">
      <c r="A53" s="24" t="s">
        <v>241</v>
      </c>
      <c r="B53" s="24"/>
      <c r="C53" s="24"/>
      <c r="D53" s="24"/>
      <c r="E53" s="24"/>
      <c r="F53" s="24"/>
      <c r="G53" s="24"/>
    </row>
    <row r="54" customFormat="false" ht="30" hidden="false" customHeight="true" outlineLevel="0" collapsed="false">
      <c r="A54" s="28" t="n">
        <v>42</v>
      </c>
      <c r="B54" s="6" t="s">
        <v>242</v>
      </c>
      <c r="C54" s="6" t="s">
        <v>243</v>
      </c>
      <c r="D54" s="29"/>
      <c r="E54" s="30"/>
      <c r="F54" s="6"/>
      <c r="G54" s="6"/>
    </row>
    <row r="55" customFormat="false" ht="30" hidden="false" customHeight="true" outlineLevel="0" collapsed="false">
      <c r="A55" s="25" t="n">
        <v>43</v>
      </c>
      <c r="B55" s="10" t="s">
        <v>244</v>
      </c>
      <c r="C55" s="10" t="s">
        <v>245</v>
      </c>
      <c r="D55" s="26"/>
      <c r="E55" s="27"/>
      <c r="F55" s="10"/>
      <c r="G55" s="10"/>
    </row>
    <row r="56" customFormat="false" ht="30" hidden="false" customHeight="true" outlineLevel="0" collapsed="false">
      <c r="A56" s="28" t="n">
        <v>44</v>
      </c>
      <c r="B56" s="6" t="s">
        <v>246</v>
      </c>
      <c r="C56" s="6" t="s">
        <v>247</v>
      </c>
      <c r="D56" s="29"/>
      <c r="E56" s="30"/>
      <c r="F56" s="6"/>
      <c r="G56" s="6"/>
    </row>
    <row r="57" customFormat="false" ht="30" hidden="false" customHeight="true" outlineLevel="0" collapsed="false">
      <c r="A57" s="25" t="n">
        <v>45</v>
      </c>
      <c r="B57" s="10" t="s">
        <v>248</v>
      </c>
      <c r="C57" s="10" t="s">
        <v>249</v>
      </c>
      <c r="D57" s="26"/>
      <c r="E57" s="27"/>
      <c r="F57" s="10"/>
      <c r="G57" s="10"/>
    </row>
    <row r="58" customFormat="false" ht="30" hidden="false" customHeight="true" outlineLevel="0" collapsed="false">
      <c r="A58" s="28" t="n">
        <v>46</v>
      </c>
      <c r="B58" s="6" t="s">
        <v>250</v>
      </c>
      <c r="C58" s="6" t="s">
        <v>251</v>
      </c>
      <c r="D58" s="29"/>
      <c r="E58" s="30"/>
      <c r="F58" s="6"/>
      <c r="G58" s="6"/>
    </row>
    <row r="59" customFormat="false" ht="30" hidden="false" customHeight="true" outlineLevel="0" collapsed="false">
      <c r="A59" s="25" t="n">
        <v>47</v>
      </c>
      <c r="B59" s="10" t="s">
        <v>252</v>
      </c>
      <c r="C59" s="10" t="s">
        <v>253</v>
      </c>
      <c r="D59" s="26"/>
      <c r="E59" s="27"/>
      <c r="F59" s="10"/>
      <c r="G59" s="10"/>
    </row>
    <row r="60" customFormat="false" ht="27.75" hidden="false" customHeight="true" outlineLevel="0" collapsed="false">
      <c r="A60" s="31" t="s">
        <v>254</v>
      </c>
      <c r="B60" s="31"/>
      <c r="C60" s="32" t="s">
        <v>255</v>
      </c>
      <c r="D60" s="33" t="str">
        <f aca="false">COUNTIF(D4:D59,"Pass ✅")&amp;" Pass  |  "&amp;COUNTIF(D4:D59,"Fail ❌")&amp;" Fail  |  "&amp;COUNTIF(D4:D59,"N/A")&amp;" N/A"</f>
        <v>0 Pass  |  0 Fail  |  0 N/A</v>
      </c>
      <c r="E60" s="33"/>
      <c r="F60" s="33"/>
      <c r="G60" s="33"/>
    </row>
  </sheetData>
  <mergeCells count="13">
    <mergeCell ref="A1:G1"/>
    <mergeCell ref="A2:G2"/>
    <mergeCell ref="A4:G4"/>
    <mergeCell ref="A11:G11"/>
    <mergeCell ref="A19:G19"/>
    <mergeCell ref="A23:G23"/>
    <mergeCell ref="A32:G32"/>
    <mergeCell ref="A38:G38"/>
    <mergeCell ref="A44:G44"/>
    <mergeCell ref="A48:G48"/>
    <mergeCell ref="A53:G53"/>
    <mergeCell ref="A60:B60"/>
    <mergeCell ref="D60:G60"/>
  </mergeCells>
  <dataValidations count="1">
    <dataValidation allowBlank="true" errorStyle="stop" operator="between" showDropDown="false" showErrorMessage="false" showInputMessage="false" sqref="D4:D200" type="list">
      <formula1>"Pass ✅,Fail ❌,N/A"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8" min="3" style="0" width="14"/>
  </cols>
  <sheetData>
    <row r="1" customFormat="false" ht="37.5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257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24" t="s">
        <v>258</v>
      </c>
      <c r="B4" s="24"/>
      <c r="C4" s="24"/>
      <c r="D4" s="24"/>
      <c r="E4" s="24"/>
      <c r="F4" s="24"/>
      <c r="G4" s="24"/>
    </row>
    <row r="5" customFormat="false" ht="27.75" hidden="false" customHeight="true" outlineLevel="0" collapsed="false">
      <c r="B5" s="34" t="s">
        <v>259</v>
      </c>
      <c r="C5" s="35" t="n">
        <f aca="false">COUNTA('🐛 Bug &amp; Issue Log'!A4:A200)</f>
        <v>56</v>
      </c>
      <c r="D5" s="36"/>
      <c r="E5" s="36"/>
      <c r="F5" s="36"/>
      <c r="G5" s="36"/>
      <c r="H5" s="36"/>
    </row>
    <row r="6" customFormat="false" ht="27.75" hidden="false" customHeight="true" outlineLevel="0" collapsed="false">
      <c r="B6" s="37" t="s">
        <v>260</v>
      </c>
      <c r="C6" s="38" t="n">
        <f aca="false">COUNTIF('🐛 Bug &amp; Issue Log'!O4:O200,"Open")</f>
        <v>5</v>
      </c>
      <c r="D6" s="36"/>
      <c r="E6" s="36"/>
      <c r="F6" s="36"/>
      <c r="G6" s="36"/>
      <c r="H6" s="36"/>
    </row>
    <row r="7" customFormat="false" ht="27.75" hidden="false" customHeight="true" outlineLevel="0" collapsed="false">
      <c r="B7" s="39" t="s">
        <v>261</v>
      </c>
      <c r="C7" s="40" t="n">
        <f aca="false">COUNTIF('🐛 Bug &amp; Issue Log'!O4:O200,"In Progress")</f>
        <v>0</v>
      </c>
      <c r="D7" s="36"/>
      <c r="E7" s="36"/>
      <c r="F7" s="36"/>
      <c r="G7" s="36"/>
      <c r="H7" s="36"/>
    </row>
    <row r="8" customFormat="false" ht="27.75" hidden="false" customHeight="true" outlineLevel="0" collapsed="false">
      <c r="B8" s="41" t="s">
        <v>262</v>
      </c>
      <c r="C8" s="42" t="n">
        <f aca="false">COUNTIF('🐛 Bug &amp; Issue Log'!O4:O200,"Fixed")</f>
        <v>0</v>
      </c>
      <c r="D8" s="36"/>
      <c r="E8" s="36"/>
      <c r="F8" s="36"/>
      <c r="G8" s="36"/>
      <c r="H8" s="36"/>
    </row>
    <row r="9" customFormat="false" ht="27.75" hidden="false" customHeight="true" outlineLevel="0" collapsed="false">
      <c r="B9" s="43" t="s">
        <v>263</v>
      </c>
      <c r="C9" s="44" t="n">
        <f aca="false">COUNTIF('🐛 Bug &amp; Issue Log'!O4:O200,"Verified")</f>
        <v>0</v>
      </c>
      <c r="D9" s="36"/>
      <c r="E9" s="36"/>
      <c r="F9" s="36"/>
      <c r="G9" s="36"/>
      <c r="H9" s="36"/>
    </row>
    <row r="10" customFormat="false" ht="27.75" hidden="false" customHeight="true" outlineLevel="0" collapsed="false">
      <c r="B10" s="45" t="s">
        <v>264</v>
      </c>
      <c r="C10" s="46" t="n">
        <f aca="false">COUNTIF('🐛 Bug &amp; Issue Log'!O4:O200,"Won't Fix")</f>
        <v>0</v>
      </c>
      <c r="D10" s="36"/>
      <c r="E10" s="36"/>
      <c r="F10" s="36"/>
      <c r="G10" s="36"/>
      <c r="H10" s="36"/>
    </row>
    <row r="12" customFormat="false" ht="24" hidden="false" customHeight="true" outlineLevel="0" collapsed="false">
      <c r="A12" s="24" t="s">
        <v>265</v>
      </c>
      <c r="B12" s="24"/>
      <c r="C12" s="24"/>
      <c r="D12" s="24"/>
      <c r="E12" s="24"/>
      <c r="F12" s="24"/>
      <c r="G12" s="24"/>
    </row>
    <row r="13" customFormat="false" ht="25.5" hidden="false" customHeight="true" outlineLevel="0" collapsed="false">
      <c r="B13" s="47" t="s">
        <v>26</v>
      </c>
      <c r="C13" s="38" t="n">
        <f aca="false">COUNTIF('🐛 Bug &amp; Issue Log'!E4:E200,"P1 — Critical")</f>
        <v>3</v>
      </c>
      <c r="D13" s="36"/>
      <c r="E13" s="36"/>
      <c r="F13" s="36"/>
      <c r="G13" s="36"/>
      <c r="H13" s="36"/>
    </row>
    <row r="14" customFormat="false" ht="25.5" hidden="false" customHeight="true" outlineLevel="0" collapsed="false">
      <c r="B14" s="48" t="s">
        <v>50</v>
      </c>
      <c r="C14" s="40" t="n">
        <f aca="false">COUNTIF('🐛 Bug &amp; Issue Log'!E4:E200,"P2 — High")</f>
        <v>1</v>
      </c>
      <c r="D14" s="36"/>
      <c r="E14" s="36"/>
      <c r="F14" s="36"/>
      <c r="G14" s="36"/>
      <c r="H14" s="36"/>
    </row>
    <row r="15" customFormat="false" ht="25.5" hidden="false" customHeight="true" outlineLevel="0" collapsed="false">
      <c r="B15" s="49" t="s">
        <v>61</v>
      </c>
      <c r="C15" s="35" t="n">
        <f aca="false">COUNTIF('🐛 Bug &amp; Issue Log'!E4:E200,"P3 — Medium")</f>
        <v>1</v>
      </c>
      <c r="D15" s="36"/>
      <c r="E15" s="36"/>
      <c r="F15" s="36"/>
      <c r="G15" s="36"/>
      <c r="H15" s="36"/>
    </row>
    <row r="16" customFormat="false" ht="25.5" hidden="false" customHeight="true" outlineLevel="0" collapsed="false">
      <c r="B16" s="50" t="s">
        <v>72</v>
      </c>
      <c r="C16" s="44" t="n">
        <f aca="false">COUNTIF('🐛 Bug &amp; Issue Log'!E4:E200,"P4 — Low")</f>
        <v>0</v>
      </c>
      <c r="D16" s="36"/>
      <c r="E16" s="36"/>
      <c r="F16" s="36"/>
      <c r="G16" s="36"/>
      <c r="H16" s="36"/>
    </row>
    <row r="18" customFormat="false" ht="24" hidden="false" customHeight="true" outlineLevel="0" collapsed="false">
      <c r="A18" s="24" t="s">
        <v>266</v>
      </c>
      <c r="B18" s="24"/>
      <c r="C18" s="24"/>
      <c r="D18" s="24"/>
      <c r="E18" s="24"/>
      <c r="F18" s="24"/>
      <c r="G18" s="24"/>
    </row>
    <row r="19" customFormat="false" ht="24" hidden="false" customHeight="true" outlineLevel="0" collapsed="false">
      <c r="B19" s="51" t="s">
        <v>25</v>
      </c>
      <c r="C19" s="52" t="n">
        <f aca="false">COUNTIF('🐛 Bug &amp; Issue Log'!D4:D200,"*Video Player*")</f>
        <v>2</v>
      </c>
      <c r="D19" s="36"/>
      <c r="E19" s="36"/>
      <c r="F19" s="36"/>
      <c r="G19" s="36"/>
      <c r="H19" s="36"/>
    </row>
    <row r="20" customFormat="false" ht="24" hidden="false" customHeight="true" outlineLevel="0" collapsed="false">
      <c r="B20" s="51" t="s">
        <v>41</v>
      </c>
      <c r="C20" s="52" t="n">
        <f aca="false">COUNTIF('🐛 Bug &amp; Issue Log'!D4:D200,"*Login / Sign Up*")</f>
        <v>1</v>
      </c>
      <c r="D20" s="36"/>
      <c r="E20" s="36"/>
      <c r="F20" s="36"/>
      <c r="G20" s="36"/>
      <c r="H20" s="36"/>
    </row>
    <row r="21" customFormat="false" ht="24" hidden="false" customHeight="true" outlineLevel="0" collapsed="false">
      <c r="B21" s="51" t="s">
        <v>54</v>
      </c>
      <c r="C21" s="52" t="n">
        <f aca="false">COUNTIF('🐛 Bug &amp; Issue Log'!D4:D200,"*For You Feed*")</f>
        <v>1</v>
      </c>
      <c r="D21" s="36"/>
      <c r="E21" s="36"/>
      <c r="F21" s="36"/>
      <c r="G21" s="36"/>
      <c r="H21" s="36"/>
    </row>
    <row r="22" customFormat="false" ht="24" hidden="false" customHeight="true" outlineLevel="0" collapsed="false">
      <c r="B22" s="51" t="s">
        <v>64</v>
      </c>
      <c r="C22" s="52" t="n">
        <f aca="false">COUNTIF('🐛 Bug &amp; Issue Log'!D4:D200,"*IAP / Payment*")</f>
        <v>1</v>
      </c>
      <c r="D22" s="36"/>
      <c r="E22" s="36"/>
      <c r="F22" s="36"/>
      <c r="G22" s="36"/>
      <c r="H22" s="36"/>
    </row>
    <row r="23" customFormat="false" ht="24" hidden="false" customHeight="true" outlineLevel="0" collapsed="false">
      <c r="B23" s="51" t="s">
        <v>267</v>
      </c>
      <c r="C23" s="52" t="n">
        <f aca="false">COUNTIF('🐛 Bug &amp; Issue Log'!D4:D200,"*VIP Subscription*")</f>
        <v>0</v>
      </c>
      <c r="D23" s="36"/>
      <c r="E23" s="36"/>
      <c r="F23" s="36"/>
      <c r="G23" s="36"/>
      <c r="H23" s="36"/>
    </row>
    <row r="24" customFormat="false" ht="24" hidden="false" customHeight="true" outlineLevel="0" collapsed="false">
      <c r="B24" s="51" t="s">
        <v>268</v>
      </c>
      <c r="C24" s="52" t="n">
        <f aca="false">COUNTIF('🐛 Bug &amp; Issue Log'!D4:D200,"*Search*")</f>
        <v>0</v>
      </c>
      <c r="D24" s="36"/>
      <c r="E24" s="36"/>
      <c r="F24" s="36"/>
      <c r="G24" s="36"/>
      <c r="H24" s="36"/>
    </row>
    <row r="25" customFormat="false" ht="24" hidden="false" customHeight="true" outlineLevel="0" collapsed="false">
      <c r="B25" s="51" t="s">
        <v>269</v>
      </c>
      <c r="C25" s="52" t="n">
        <f aca="false">COUNTIF('🐛 Bug &amp; Issue Log'!D4:D200,"*Profile / Settings*")</f>
        <v>0</v>
      </c>
      <c r="D25" s="36"/>
      <c r="E25" s="36"/>
      <c r="F25" s="36"/>
      <c r="G25" s="36"/>
      <c r="H25" s="36"/>
    </row>
    <row r="26" customFormat="false" ht="24" hidden="false" customHeight="true" outlineLevel="0" collapsed="false">
      <c r="B26" s="51" t="s">
        <v>270</v>
      </c>
      <c r="C26" s="52" t="n">
        <f aca="false">COUNTIF('🐛 Bug &amp; Issue Log'!D4:D200,"*Performance*")</f>
        <v>0</v>
      </c>
      <c r="D26" s="36"/>
      <c r="E26" s="36"/>
      <c r="F26" s="36"/>
      <c r="G26" s="36"/>
      <c r="H26" s="36"/>
    </row>
    <row r="28" customFormat="false" ht="24" hidden="false" customHeight="true" outlineLevel="0" collapsed="false">
      <c r="A28" s="24" t="s">
        <v>271</v>
      </c>
      <c r="B28" s="24"/>
      <c r="C28" s="24"/>
      <c r="D28" s="24"/>
      <c r="E28" s="24"/>
      <c r="F28" s="24"/>
      <c r="G28" s="24"/>
    </row>
    <row r="29" customFormat="false" ht="25.5" hidden="false" customHeight="true" outlineLevel="0" collapsed="false">
      <c r="B29" s="53" t="s">
        <v>272</v>
      </c>
      <c r="C29" s="54" t="n">
        <f aca="false">48</f>
        <v>48</v>
      </c>
      <c r="D29" s="36"/>
      <c r="E29" s="36"/>
      <c r="F29" s="36"/>
      <c r="G29" s="36"/>
      <c r="H29" s="36"/>
    </row>
    <row r="30" customFormat="false" ht="25.5" hidden="false" customHeight="true" outlineLevel="0" collapsed="false">
      <c r="B30" s="43" t="s">
        <v>273</v>
      </c>
      <c r="C30" s="55" t="n">
        <f aca="false">COUNTIF('✅ Test Case Checklist'!D4:D200,"Pass ✅")</f>
        <v>0</v>
      </c>
      <c r="D30" s="36"/>
      <c r="E30" s="36"/>
      <c r="F30" s="36"/>
      <c r="G30" s="36"/>
      <c r="H30" s="36"/>
    </row>
    <row r="31" customFormat="false" ht="25.5" hidden="false" customHeight="true" outlineLevel="0" collapsed="false">
      <c r="B31" s="37" t="s">
        <v>274</v>
      </c>
      <c r="C31" s="56" t="n">
        <f aca="false">COUNTIF('✅ Test Case Checklist'!D4:D200,"Fail ❌")</f>
        <v>0</v>
      </c>
      <c r="D31" s="36"/>
      <c r="E31" s="36"/>
      <c r="F31" s="36"/>
      <c r="G31" s="36"/>
      <c r="H31" s="36"/>
    </row>
    <row r="32" customFormat="false" ht="25.5" hidden="false" customHeight="true" outlineLevel="0" collapsed="false">
      <c r="B32" s="45" t="s">
        <v>275</v>
      </c>
      <c r="C32" s="57" t="n">
        <f aca="false">COUNTIF('✅ Test Case Checklist'!D4:D200,"N/A")</f>
        <v>0</v>
      </c>
      <c r="D32" s="36"/>
      <c r="E32" s="36"/>
      <c r="F32" s="36"/>
      <c r="G32" s="36"/>
      <c r="H32" s="36"/>
    </row>
    <row r="33" customFormat="false" ht="25.5" hidden="false" customHeight="true" outlineLevel="0" collapsed="false">
      <c r="B33" s="58" t="s">
        <v>276</v>
      </c>
      <c r="C33" s="59" t="n">
        <f aca="false">48-COUNTIF('✅ Test Case Checklist'!D4:D200,"Pass ✅")-COUNTIF('✅ Test Case Checklist'!D4:D200,"Fail ❌")-COUNTIF('✅ Test Case Checklist'!D4:D200,"N/A")</f>
        <v>48</v>
      </c>
      <c r="D33" s="36"/>
      <c r="E33" s="36"/>
      <c r="F33" s="36"/>
      <c r="G33" s="36"/>
      <c r="H33" s="36"/>
    </row>
    <row r="34" customFormat="false" ht="25.5" hidden="false" customHeight="true" outlineLevel="0" collapsed="false">
      <c r="B34" s="60" t="s">
        <v>277</v>
      </c>
      <c r="C34" s="55" t="str">
        <f aca="false">IFERROR(TEXT(COUNTIF('✅ Test Case Checklist'!D4:D200,"Pass ✅")/48,"0.0%"),"0.0%")</f>
        <v>0.0%</v>
      </c>
      <c r="D34" s="36"/>
      <c r="E34" s="36"/>
      <c r="F34" s="36"/>
      <c r="G34" s="36"/>
      <c r="H34" s="36"/>
    </row>
    <row r="36" customFormat="false" ht="24" hidden="false" customHeight="true" outlineLevel="0" collapsed="false">
      <c r="A36" s="24" t="s">
        <v>278</v>
      </c>
      <c r="B36" s="24"/>
      <c r="C36" s="24"/>
      <c r="D36" s="24"/>
      <c r="E36" s="24"/>
      <c r="F36" s="24"/>
      <c r="G36" s="24"/>
    </row>
    <row r="37" customFormat="false" ht="21.75" hidden="false" customHeight="true" outlineLevel="0" collapsed="false">
      <c r="B37" s="61" t="s">
        <v>279</v>
      </c>
      <c r="C37" s="62" t="s">
        <v>280</v>
      </c>
      <c r="D37" s="36"/>
      <c r="E37" s="36"/>
      <c r="F37" s="36"/>
      <c r="G37" s="36"/>
      <c r="H37" s="36"/>
    </row>
    <row r="38" customFormat="false" ht="21.75" hidden="false" customHeight="true" outlineLevel="0" collapsed="false">
      <c r="B38" s="61" t="s">
        <v>281</v>
      </c>
      <c r="C38" s="62" t="s">
        <v>282</v>
      </c>
      <c r="D38" s="36"/>
      <c r="E38" s="36"/>
      <c r="F38" s="36"/>
      <c r="G38" s="36"/>
      <c r="H38" s="36"/>
    </row>
    <row r="39" customFormat="false" ht="21.75" hidden="false" customHeight="true" outlineLevel="0" collapsed="false">
      <c r="B39" s="61" t="s">
        <v>14</v>
      </c>
      <c r="C39" s="62" t="s">
        <v>34</v>
      </c>
      <c r="D39" s="36"/>
      <c r="E39" s="36"/>
      <c r="F39" s="36"/>
      <c r="G39" s="36"/>
      <c r="H39" s="36"/>
    </row>
    <row r="40" customFormat="false" ht="21.75" hidden="false" customHeight="true" outlineLevel="0" collapsed="false">
      <c r="B40" s="61" t="s">
        <v>283</v>
      </c>
      <c r="C40" s="62" t="s">
        <v>284</v>
      </c>
      <c r="D40" s="36"/>
      <c r="E40" s="36"/>
      <c r="F40" s="36"/>
      <c r="G40" s="36"/>
      <c r="H40" s="36"/>
    </row>
    <row r="41" customFormat="false" ht="21.75" hidden="false" customHeight="true" outlineLevel="0" collapsed="false">
      <c r="B41" s="61" t="s">
        <v>285</v>
      </c>
      <c r="C41" s="62" t="s">
        <v>286</v>
      </c>
      <c r="D41" s="36"/>
      <c r="E41" s="36"/>
      <c r="F41" s="36"/>
      <c r="G41" s="36"/>
      <c r="H41" s="36"/>
    </row>
    <row r="42" customFormat="false" ht="21.75" hidden="false" customHeight="true" outlineLevel="0" collapsed="false">
      <c r="B42" s="61" t="s">
        <v>287</v>
      </c>
      <c r="C42" s="62" t="s">
        <v>288</v>
      </c>
      <c r="D42" s="36"/>
      <c r="E42" s="36"/>
      <c r="F42" s="36"/>
      <c r="G42" s="36"/>
      <c r="H42" s="36"/>
    </row>
    <row r="43" customFormat="false" ht="21.75" hidden="false" customHeight="true" outlineLevel="0" collapsed="false">
      <c r="B43" s="61" t="s">
        <v>289</v>
      </c>
      <c r="C43" s="62" t="s">
        <v>290</v>
      </c>
      <c r="D43" s="36"/>
      <c r="E43" s="36"/>
      <c r="F43" s="36"/>
      <c r="G43" s="36"/>
      <c r="H43" s="36"/>
    </row>
  </sheetData>
  <mergeCells count="38">
    <mergeCell ref="A1:H1"/>
    <mergeCell ref="A2:H2"/>
    <mergeCell ref="A4:G4"/>
    <mergeCell ref="D5:H5"/>
    <mergeCell ref="D6:H6"/>
    <mergeCell ref="D7:H7"/>
    <mergeCell ref="D8:H8"/>
    <mergeCell ref="D9:H9"/>
    <mergeCell ref="D10:H10"/>
    <mergeCell ref="A12:G12"/>
    <mergeCell ref="D13:H13"/>
    <mergeCell ref="D14:H14"/>
    <mergeCell ref="D15:H15"/>
    <mergeCell ref="D16:H16"/>
    <mergeCell ref="A18:G18"/>
    <mergeCell ref="D19:H19"/>
    <mergeCell ref="D20:H20"/>
    <mergeCell ref="D21:H21"/>
    <mergeCell ref="D22:H22"/>
    <mergeCell ref="D23:H23"/>
    <mergeCell ref="D24:H24"/>
    <mergeCell ref="D25:H25"/>
    <mergeCell ref="D26:H26"/>
    <mergeCell ref="A28:G28"/>
    <mergeCell ref="D29:H29"/>
    <mergeCell ref="D30:H30"/>
    <mergeCell ref="D31:H31"/>
    <mergeCell ref="D32:H32"/>
    <mergeCell ref="D33:H33"/>
    <mergeCell ref="D34:H34"/>
    <mergeCell ref="A36:G36"/>
    <mergeCell ref="D37:H37"/>
    <mergeCell ref="D38:H38"/>
    <mergeCell ref="D39:H39"/>
    <mergeCell ref="D40:H40"/>
    <mergeCell ref="D41:H41"/>
    <mergeCell ref="D42:H42"/>
    <mergeCell ref="D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2026-06-14T16:14:24Z</dcterms:created>
  <dc:creator>openpyxl</dc:creator>
  <dc:description/>
  <dc:language>en-US</dc:language>
  <cp:lastModifiedBy/>
  <dcterms:modified xsi:type="dcterms:W3CDTF">2026-06-14T16:14:24Z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